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9e7f457f5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1ede1ed8c3c40bb"/>
    <x:sheet xmlns:r="http://schemas.openxmlformats.org/officeDocument/2006/relationships" name="Detail" sheetId="2" r:id="R77794af4bebf41cf"/>
    <x:sheet xmlns:r="http://schemas.openxmlformats.org/officeDocument/2006/relationships" name="Monthly Summary" sheetId="3" r:id="R5887056b588a435f"/>
    <x:sheet xmlns:r="http://schemas.openxmlformats.org/officeDocument/2006/relationships" name="Scenario" sheetId="4" r:id="R619424d9799b4736"/>
    <x:sheet xmlns:r="http://schemas.openxmlformats.org/officeDocument/2006/relationships" name="Executive Summary" sheetId="5" r:id="Rd04fb3bcd8b74a84"/>
    <x:sheet xmlns:r="http://schemas.openxmlformats.org/officeDocument/2006/relationships" name="Q4 Forecast" sheetId="6" r:id="Rbc2fb8a966a2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$#,##0;[Red]($#,##0);-"/>
    <x:numFmt numFmtId="202" formatCode="0.00x"/>
    <x:numFmt numFmtId="203" formatCode="0.0%;[Red](0.0%);-"/>
  </x:numFmts>
  <x:fonts count="5">
    <x:font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0D7F8B"/>
      </x:patternFill>
    </x:fill>
    <x:fill>
      <x:patternFill patternType="solid">
        <x:fgColor rgb="FFEFF7FA"/>
      </x:patternFill>
    </x:fill>
    <x:fill>
      <x:patternFill patternType="solid">
        <x:fgColor rgb="FFE6F3F5"/>
      </x:patternFill>
    </x:fill>
    <x:fill>
      <x:patternFill patternType="solid">
        <x:fgColor rgb="FFFFF1BA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4" fillId="5" borderId="0" xfId="0" applyNumberFormat="1" applyFont="1" applyFill="1" applyBorder="1"/>
    <x:xf numFmtId="201" fontId="0" fillId="0" borderId="1" xfId="0" applyNumberFormat="1" applyFont="1" applyFill="1" applyBorder="1"/>
    <x:xf numFmtId="201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2" fontId="3" fillId="6" borderId="0" xfId="0" applyNumberFormat="1" applyFont="1" applyFill="1" applyBorder="1"/>
    <x:xf numFmtId="202" fontId="3" fillId="6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3" fillId="6" borderId="0" xfId="0" applyNumberFormat="1" applyFont="1" applyFill="1" applyBorder="1"/>
    <x:xf numFmtId="203" fontId="3" fillId="6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9ebfacf194e08" /><Relationship Type="http://schemas.openxmlformats.org/officeDocument/2006/relationships/theme" Target="/xl/theme/theme1.xml" Id="Rb1786b4d39b74443" /><Relationship Type="http://schemas.openxmlformats.org/officeDocument/2006/relationships/sharedStrings" Target="/xl/sharedStrings.xml" Id="R7c3ad9681b9b445c" /><Relationship Type="http://schemas.openxmlformats.org/officeDocument/2006/relationships/worksheet" Target="/xl/worksheets/sheet1.xml" Id="Rc1ede1ed8c3c40bb" /><Relationship Type="http://schemas.openxmlformats.org/officeDocument/2006/relationships/worksheet" Target="/xl/worksheets/sheet2.xml" Id="R77794af4bebf41cf" /><Relationship Type="http://schemas.openxmlformats.org/officeDocument/2006/relationships/worksheet" Target="/xl/worksheets/sheet3.xml" Id="R5887056b588a435f" /><Relationship Type="http://schemas.openxmlformats.org/officeDocument/2006/relationships/worksheet" Target="/xl/worksheets/sheet4.xml" Id="R619424d9799b4736" /><Relationship Type="http://schemas.openxmlformats.org/officeDocument/2006/relationships/worksheet" Target="/xl/worksheets/sheet5.xml" Id="Rd04fb3bcd8b74a84" /><Relationship Type="http://schemas.openxmlformats.org/officeDocument/2006/relationships/worksheet" Target="/xl/worksheets/sheet6.xml" Id="Rbc2fb8a966a24315" /></Relationships>
</file>

<file path=xl/theme/theme1.xml><?xml version="1.0" encoding="utf-8"?>
<a:theme xmlns:a="http://schemas.openxmlformats.org/drawingml/2006/main" name="Finance Portfolio">
  <a:themeElements>
    <a:clrScheme name="Finance Portfoli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Finance Portfoli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Retail FP&amp;A | Budget to Actual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SYNTHETIC RETAIL DATA — NOT REAL COMPANY PERFORMANCE</x:v>
      </x:c>
      <x:c r="B4" s="7"/>
      <x:c r="C4" s="7"/>
      <x:c r="D4" s="7"/>
      <x:c r="E4" s="7"/>
      <x:c r="F4" s="7"/>
      <x:c r="G4" s="7"/>
      <x:c r="H4" s="7"/>
    </x:row>
    <x:row r="5" ht="20" customHeight="1"/>
    <x:row r="6" ht="20" customHeight="1">
      <x:c r="A6" t="str">
        <x:v>Business</x:v>
      </x:c>
      <x:c r="B6" s="10" t="str">
        <x:v>Fictional retailer with three product segments</x:v>
      </x:c>
      <x:c r="C6" s="10"/>
      <x:c r="D6" s="10"/>
      <x:c r="E6" s="10"/>
      <x:c r="F6" s="10"/>
      <x:c r="G6" s="10"/>
      <x:c r="H6" s="10"/>
    </x:row>
    <x:row r="7" ht="20" customHeight="1">
      <x:c r="A7" t="str">
        <x:v>Period</x:v>
      </x:c>
      <x:c r="B7" s="10" t="str">
        <x:v>January-September 2026</x:v>
      </x:c>
      <x:c r="C7" s="10"/>
      <x:c r="D7" s="10"/>
      <x:c r="E7" s="10"/>
      <x:c r="F7" s="10"/>
      <x:c r="G7" s="10"/>
      <x:c r="H7" s="10"/>
    </x:row>
    <x:row r="8" ht="20" customHeight="1">
      <x:c r="A8" t="str">
        <x:v>Inputs</x:v>
      </x:c>
      <x:c r="B8" s="10" t="str">
        <x:v>Detail!C:J are the only raw operational inputs</x:v>
      </x:c>
      <x:c r="C8" s="10"/>
      <x:c r="D8" s="10"/>
      <x:c r="E8" s="10"/>
      <x:c r="F8" s="10"/>
      <x:c r="G8" s="10"/>
      <x:c r="H8" s="10"/>
    </x:row>
    <x:row r="9" ht="20" customHeight="1">
      <x:c r="A9" t="str">
        <x:v>Formula logic</x:v>
      </x:c>
      <x:c r="B9" s="10" t="str">
        <x:v>Revenue=Units*Price; Profit=Revenue-Variable COGS-Fixed Opex</x:v>
      </x:c>
      <x:c r="C9" s="10"/>
      <x:c r="D9" s="10"/>
      <x:c r="E9" s="10"/>
      <x:c r="F9" s="10"/>
      <x:c r="G9" s="10"/>
      <x:c r="H9" s="10"/>
    </x:row>
    <x:row r="10" ht="20" customHeight="1">
      <x:c r="A10" t="str">
        <x:v>Sign convention</x:v>
      </x:c>
      <x:c r="B10" s="10" t="str">
        <x:v>Actual minus budget (positive is favorable for revenue/profit)</x:v>
      </x:c>
      <x:c r="C10" s="10"/>
      <x:c r="D10" s="10"/>
      <x:c r="E10" s="10"/>
      <x:c r="F10" s="10"/>
      <x:c r="G10" s="10"/>
      <x:c r="H10" s="10"/>
    </x:row>
    <x:row r="11" ht="20" customHeight="1">
      <x:c r="A11" t="str">
        <x:v>Scenarios</x:v>
      </x:c>
      <x:c r="B11" s="10" t="str">
        <x:v>Increase/decrease Volume, Price, Variable Cost and Fixed Opex on Scenario</x:v>
      </x:c>
      <x:c r="C11" s="10"/>
      <x:c r="D11" s="10"/>
      <x:c r="E11" s="10"/>
      <x:c r="F11" s="10"/>
      <x:c r="G11" s="10"/>
      <x:c r="H11" s="10"/>
    </x:row>
    <x:row r="12" ht="20" customHeight="1">
      <x:c r="A12" t="str">
        <x:v>Source</x:v>
      </x:c>
      <x:c r="B12" s="10" t="str">
        <x:v>Synthetic, reproducible code: src/generate_data.py</x:v>
      </x:c>
      <x:c r="C12" s="10"/>
      <x:c r="D12" s="10"/>
      <x:c r="E12" s="10"/>
      <x:c r="F12" s="10"/>
      <x:c r="G12" s="10"/>
      <x:c r="H12" s="10"/>
    </x:row>
    <x:row r="13" ht="20" customHeight="1">
      <x:c r="A13" t="str">
        <x:v>Business data</x:v>
      </x:c>
      <x:c r="B13" s="10" t="str">
        <x:v>No real company or confidential information included</x:v>
      </x:c>
      <x:c r="C13" s="10"/>
      <x:c r="D13" s="10"/>
      <x:c r="E13" s="10"/>
      <x:c r="F13" s="10"/>
      <x:c r="G13" s="10"/>
      <x:c r="H13" s="10"/>
    </x:row>
    <x:row r="14" ht="20" customHeight="1">
      <x:c r="B14" s="10"/>
      <x:c r="C14" s="10"/>
      <x:c r="D14" s="10"/>
      <x:c r="E14" s="10"/>
      <x:c r="F14" s="10"/>
      <x:c r="G14" s="10"/>
      <x:c r="H14" s="10"/>
    </x:row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</x:sheetData>
  <x:mergeCells>
    <x:mergeCell ref="A1:H2"/>
    <x:mergeCell ref="B6:H6"/>
    <x:mergeCell ref="B7:H7"/>
    <x:mergeCell ref="B8:H8"/>
    <x:mergeCell ref="B9:H9"/>
    <x:mergeCell ref="B10:H10"/>
    <x:mergeCell ref="B11:H11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5" customHeight="1">
      <x:c r="A1" s="3" t="str">
        <x:v>Monthly Product Data | All SYNTHETIC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 ht="26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</x:row>
    <x:row r="5" ht="28" customHeight="1">
      <x:c r="A5" s="12" t="str">
        <x:v>Month</x:v>
      </x:c>
      <x:c r="B5" s="12" t="str">
        <x:v>Product</x:v>
      </x:c>
      <x:c r="C5" s="12" t="str">
        <x:v>Budget units</x:v>
      </x:c>
      <x:c r="D5" s="12" t="str">
        <x:v>Actual units</x:v>
      </x:c>
      <x:c r="E5" s="12" t="str">
        <x:v>Budget price</x:v>
      </x:c>
      <x:c r="F5" s="12" t="str">
        <x:v>Actual price</x:v>
      </x:c>
      <x:c r="G5" s="12" t="str">
        <x:v>Budget var cost/u</x:v>
      </x:c>
      <x:c r="H5" s="12" t="str">
        <x:v>Actual var cost/u</x:v>
      </x:c>
      <x:c r="I5" s="12" t="str">
        <x:v>Budget fixed</x:v>
      </x:c>
      <x:c r="J5" s="12" t="str">
        <x:v>Actual fixed</x:v>
      </x:c>
      <x:c r="K5" s="12" t="str">
        <x:v>Budget revenue</x:v>
      </x:c>
      <x:c r="L5" s="12" t="str">
        <x:v>Actual revenue</x:v>
      </x:c>
      <x:c r="M5" s="12" t="str">
        <x:v>Budget var costs</x:v>
      </x:c>
      <x:c r="N5" s="12" t="str">
        <x:v>Actual var costs</x:v>
      </x:c>
      <x:c r="O5" s="12" t="str">
        <x:v>Budget profit</x:v>
      </x:c>
      <x:c r="P5" s="12" t="str">
        <x:v>Actual profit</x:v>
      </x:c>
      <x:c r="Q5" s="12" t="str">
        <x:v>Revenue variance</x:v>
      </x:c>
      <x:c r="R5" s="12" t="str">
        <x:v>Profit variance</x:v>
      </x:c>
    </x:row>
    <x:row r="6" ht="20" customHeight="1">
      <x:c r="A6" t="str">
        <x:v>2026-01</x:v>
      </x:c>
      <x:c r="B6" t="str">
        <x:v>Core</x:v>
      </x:c>
      <x:c r="C6" s="16" t="n">
        <x:v>7446</x:v>
      </x:c>
      <x:c r="D6" s="16" t="n">
        <x:v>7425</x:v>
      </x:c>
      <x:c r="E6" s="16" t="n">
        <x:v>54</x:v>
      </x:c>
      <x:c r="F6" s="16" t="n">
        <x:v>53.17</x:v>
      </x:c>
      <x:c r="G6" s="16" t="n">
        <x:v>31</x:v>
      </x:c>
      <x:c r="H6" s="16" t="n">
        <x:v>32.07</x:v>
      </x:c>
      <x:c r="I6" s="16" t="n">
        <x:v>115000</x:v>
      </x:c>
      <x:c r="J6" s="16" t="n">
        <x:v>118988.84</x:v>
      </x:c>
      <x:c r="K6" s="20" t="n">
        <x:f>C6*E6</x:f>
        <x:v>402084</x:v>
      </x:c>
      <x:c r="L6" s="20" t="n">
        <x:f>D6*F6</x:f>
        <x:v>394787.25</x:v>
      </x:c>
      <x:c r="M6" s="20" t="n">
        <x:f>C6*G6</x:f>
        <x:v>230826</x:v>
      </x:c>
      <x:c r="N6" s="20" t="n">
        <x:f>D6*H6</x:f>
        <x:v>238119.75</x:v>
      </x:c>
      <x:c r="O6" s="20" t="n">
        <x:f>K6-M6-I6</x:f>
        <x:v>56258</x:v>
      </x:c>
      <x:c r="P6" s="20" t="n">
        <x:f>L6-N6-J6</x:f>
        <x:v>37678.66</x:v>
      </x:c>
      <x:c r="Q6" s="20" t="n">
        <x:f>L6-K6</x:f>
        <x:v>-7296.75</x:v>
      </x:c>
      <x:c r="R6" s="20" t="n">
        <x:f>P6-O6</x:f>
        <x:v>-18579.339999999997</x:v>
      </x:c>
    </x:row>
    <x:row r="7" ht="20" customHeight="1">
      <x:c r="A7" t="str">
        <x:v>2026-01</x:v>
      </x:c>
      <x:c r="B7" t="str">
        <x:v>Premium</x:v>
      </x:c>
      <x:c r="C7" s="16" t="n">
        <x:v>2477</x:v>
      </x:c>
      <x:c r="D7" s="16" t="n">
        <x:v>2405</x:v>
      </x:c>
      <x:c r="E7" s="16" t="n">
        <x:v>114</x:v>
      </x:c>
      <x:c r="F7" s="16" t="n">
        <x:v>112.68</x:v>
      </x:c>
      <x:c r="G7" s="16" t="n">
        <x:v>66</x:v>
      </x:c>
      <x:c r="H7" s="16" t="n">
        <x:v>66.68</x:v>
      </x:c>
      <x:c r="I7" s="16" t="n">
        <x:v>97000</x:v>
      </x:c>
      <x:c r="J7" s="16" t="n">
        <x:v>100337.98</x:v>
      </x:c>
      <x:c r="K7" s="20" t="n">
        <x:f>C7*E7</x:f>
        <x:v>282378</x:v>
      </x:c>
      <x:c r="L7" s="20" t="n">
        <x:f>D7*F7</x:f>
        <x:v>270995.4</x:v>
      </x:c>
      <x:c r="M7" s="20" t="n">
        <x:f>C7*G7</x:f>
        <x:v>163482</x:v>
      </x:c>
      <x:c r="N7" s="20" t="n">
        <x:f>D7*H7</x:f>
        <x:v>160365.40000000002</x:v>
      </x:c>
      <x:c r="O7" s="20" t="n">
        <x:f>K7-M7-I7</x:f>
        <x:v>21896</x:v>
      </x:c>
      <x:c r="P7" s="20" t="n">
        <x:f>L7-N7-J7</x:f>
        <x:v>10292.020000000004</x:v>
      </x:c>
      <x:c r="Q7" s="20" t="n">
        <x:f>L7-K7</x:f>
        <x:v>-11382.599999999977</x:v>
      </x:c>
      <x:c r="R7" s="20" t="n">
        <x:f>P7-O7</x:f>
        <x:v>-11603.979999999996</x:v>
      </x:c>
    </x:row>
    <x:row r="8" ht="20" customHeight="1">
      <x:c r="A8" t="str">
        <x:v>2026-01</x:v>
      </x:c>
      <x:c r="B8" t="str">
        <x:v>Accessories</x:v>
      </x:c>
      <x:c r="C8" s="16" t="n">
        <x:v>4571</x:v>
      </x:c>
      <x:c r="D8" s="16" t="n">
        <x:v>4597</x:v>
      </x:c>
      <x:c r="E8" s="16" t="n">
        <x:v>26</x:v>
      </x:c>
      <x:c r="F8" s="16" t="n">
        <x:v>26.26</x:v>
      </x:c>
      <x:c r="G8" s="16" t="n">
        <x:v>11</x:v>
      </x:c>
      <x:c r="H8" s="16" t="n">
        <x:v>11.75</x:v>
      </x:c>
      <x:c r="I8" s="16" t="n">
        <x:v>66000</x:v>
      </x:c>
      <x:c r="J8" s="16" t="n">
        <x:v>66847.89</x:v>
      </x:c>
      <x:c r="K8" s="20" t="n">
        <x:f>C8*E8</x:f>
        <x:v>118846</x:v>
      </x:c>
      <x:c r="L8" s="20" t="n">
        <x:f>D8*F8</x:f>
        <x:v>120717.22</x:v>
      </x:c>
      <x:c r="M8" s="20" t="n">
        <x:f>C8*G8</x:f>
        <x:v>50281</x:v>
      </x:c>
      <x:c r="N8" s="20" t="n">
        <x:f>D8*H8</x:f>
        <x:v>54014.75</x:v>
      </x:c>
      <x:c r="O8" s="20" t="n">
        <x:f>K8-M8-I8</x:f>
        <x:v>2565</x:v>
      </x:c>
      <x:c r="P8" s="20" t="n">
        <x:f>L8-N8-J8</x:f>
        <x:v>-145.41999999999825</x:v>
      </x:c>
      <x:c r="Q8" s="20" t="n">
        <x:f>L8-K8</x:f>
        <x:v>1871.2200000000012</x:v>
      </x:c>
      <x:c r="R8" s="20" t="n">
        <x:f>P8-O8</x:f>
        <x:v>-2710.4199999999983</x:v>
      </x:c>
    </x:row>
    <x:row r="9" ht="20" customHeight="1">
      <x:c r="A9" t="str">
        <x:v>2026-02</x:v>
      </x:c>
      <x:c r="B9" t="str">
        <x:v>Core</x:v>
      </x:c>
      <x:c r="C9" s="16" t="n">
        <x:v>7613</x:v>
      </x:c>
      <x:c r="D9" s="16" t="n">
        <x:v>7564</x:v>
      </x:c>
      <x:c r="E9" s="16" t="n">
        <x:v>54</x:v>
      </x:c>
      <x:c r="F9" s="16" t="n">
        <x:v>55.23</x:v>
      </x:c>
      <x:c r="G9" s="16" t="n">
        <x:v>31</x:v>
      </x:c>
      <x:c r="H9" s="16" t="n">
        <x:v>31.46</x:v>
      </x:c>
      <x:c r="I9" s="16" t="n">
        <x:v>115230</x:v>
      </x:c>
      <x:c r="J9" s="16" t="n">
        <x:v>120377.94</x:v>
      </x:c>
      <x:c r="K9" s="20" t="n">
        <x:f>C9*E9</x:f>
        <x:v>411102</x:v>
      </x:c>
      <x:c r="L9" s="20" t="n">
        <x:f>D9*F9</x:f>
        <x:v>417759.72</x:v>
      </x:c>
      <x:c r="M9" s="20" t="n">
        <x:f>C9*G9</x:f>
        <x:v>236003</x:v>
      </x:c>
      <x:c r="N9" s="20" t="n">
        <x:f>D9*H9</x:f>
        <x:v>237963.44</x:v>
      </x:c>
      <x:c r="O9" s="20" t="n">
        <x:f>K9-M9-I9</x:f>
        <x:v>59869</x:v>
      </x:c>
      <x:c r="P9" s="20" t="n">
        <x:f>L9-N9-J9</x:f>
        <x:v>59418.33999999997</x:v>
      </x:c>
      <x:c r="Q9" s="20" t="n">
        <x:f>L9-K9</x:f>
        <x:v>6657.719999999972</x:v>
      </x:c>
      <x:c r="R9" s="20" t="n">
        <x:f>P9-O9</x:f>
        <x:v>-450.6600000000326</x:v>
      </x:c>
    </x:row>
    <x:row r="10" ht="20" customHeight="1">
      <x:c r="A10" t="str">
        <x:v>2026-02</x:v>
      </x:c>
      <x:c r="B10" t="str">
        <x:v>Premium</x:v>
      </x:c>
      <x:c r="C10" s="16" t="n">
        <x:v>2515</x:v>
      </x:c>
      <x:c r="D10" s="16" t="n">
        <x:v>2645</x:v>
      </x:c>
      <x:c r="E10" s="16" t="n">
        <x:v>114</x:v>
      </x:c>
      <x:c r="F10" s="16" t="n">
        <x:v>113.11</x:v>
      </x:c>
      <x:c r="G10" s="16" t="n">
        <x:v>66</x:v>
      </x:c>
      <x:c r="H10" s="16" t="n">
        <x:v>68.19</x:v>
      </x:c>
      <x:c r="I10" s="16" t="n">
        <x:v>97194</x:v>
      </x:c>
      <x:c r="J10" s="16" t="n">
        <x:v>97115.91</x:v>
      </x:c>
      <x:c r="K10" s="20" t="n">
        <x:f>C10*E10</x:f>
        <x:v>286710</x:v>
      </x:c>
      <x:c r="L10" s="20" t="n">
        <x:f>D10*F10</x:f>
        <x:v>299175.95</x:v>
      </x:c>
      <x:c r="M10" s="20" t="n">
        <x:f>C10*G10</x:f>
        <x:v>165990</x:v>
      </x:c>
      <x:c r="N10" s="20" t="n">
        <x:f>D10*H10</x:f>
        <x:v>180362.55</x:v>
      </x:c>
      <x:c r="O10" s="20" t="n">
        <x:f>K10-M10-I10</x:f>
        <x:v>23526</x:v>
      </x:c>
      <x:c r="P10" s="20" t="n">
        <x:f>L10-N10-J10</x:f>
        <x:v>21697.49000000002</x:v>
      </x:c>
      <x:c r="Q10" s="20" t="n">
        <x:f>L10-K10</x:f>
        <x:v>12465.950000000012</x:v>
      </x:c>
      <x:c r="R10" s="20" t="n">
        <x:f>P10-O10</x:f>
        <x:v>-1828.5099999999802</x:v>
      </x:c>
    </x:row>
    <x:row r="11" ht="20" customHeight="1">
      <x:c r="A11" t="str">
        <x:v>2026-02</x:v>
      </x:c>
      <x:c r="B11" t="str">
        <x:v>Accessories</x:v>
      </x:c>
      <x:c r="C11" s="16" t="n">
        <x:v>4606</x:v>
      </x:c>
      <x:c r="D11" s="16" t="n">
        <x:v>5220</x:v>
      </x:c>
      <x:c r="E11" s="16" t="n">
        <x:v>26</x:v>
      </x:c>
      <x:c r="F11" s="16" t="n">
        <x:v>26.9</x:v>
      </x:c>
      <x:c r="G11" s="16" t="n">
        <x:v>11</x:v>
      </x:c>
      <x:c r="H11" s="16" t="n">
        <x:v>11.08</x:v>
      </x:c>
      <x:c r="I11" s="16" t="n">
        <x:v>66132</x:v>
      </x:c>
      <x:c r="J11" s="16" t="n">
        <x:v>66834.1</x:v>
      </x:c>
      <x:c r="K11" s="20" t="n">
        <x:f>C11*E11</x:f>
        <x:v>119756</x:v>
      </x:c>
      <x:c r="L11" s="20" t="n">
        <x:f>D11*F11</x:f>
        <x:v>140418</x:v>
      </x:c>
      <x:c r="M11" s="20" t="n">
        <x:f>C11*G11</x:f>
        <x:v>50666</x:v>
      </x:c>
      <x:c r="N11" s="20" t="n">
        <x:f>D11*H11</x:f>
        <x:v>57837.6</x:v>
      </x:c>
      <x:c r="O11" s="20" t="n">
        <x:f>K11-M11-I11</x:f>
        <x:v>2958</x:v>
      </x:c>
      <x:c r="P11" s="20" t="n">
        <x:f>L11-N11-J11</x:f>
        <x:v>15746.299999999988</x:v>
      </x:c>
      <x:c r="Q11" s="20" t="n">
        <x:f>L11-K11</x:f>
        <x:v>20662</x:v>
      </x:c>
      <x:c r="R11" s="20" t="n">
        <x:f>P11-O11</x:f>
        <x:v>12788.299999999988</x:v>
      </x:c>
    </x:row>
    <x:row r="12" ht="20" customHeight="1">
      <x:c r="A12" t="str">
        <x:v>2026-03</x:v>
      </x:c>
      <x:c r="B12" t="str">
        <x:v>Core</x:v>
      </x:c>
      <x:c r="C12" s="16" t="n">
        <x:v>7713</x:v>
      </x:c>
      <x:c r="D12" s="16" t="n">
        <x:v>7435</x:v>
      </x:c>
      <x:c r="E12" s="16" t="n">
        <x:v>54</x:v>
      </x:c>
      <x:c r="F12" s="16" t="n">
        <x:v>51.45</x:v>
      </x:c>
      <x:c r="G12" s="16" t="n">
        <x:v>31</x:v>
      </x:c>
      <x:c r="H12" s="16" t="n">
        <x:v>32.35</x:v>
      </x:c>
      <x:c r="I12" s="16" t="n">
        <x:v>115460</x:v>
      </x:c>
      <x:c r="J12" s="16" t="n">
        <x:v>116660.89</x:v>
      </x:c>
      <x:c r="K12" s="20" t="n">
        <x:f>C12*E12</x:f>
        <x:v>416502</x:v>
      </x:c>
      <x:c r="L12" s="20" t="n">
        <x:f>D12*F12</x:f>
        <x:v>382530.75</x:v>
      </x:c>
      <x:c r="M12" s="20" t="n">
        <x:f>C12*G12</x:f>
        <x:v>239103</x:v>
      </x:c>
      <x:c r="N12" s="20" t="n">
        <x:f>D12*H12</x:f>
        <x:v>240522.25</x:v>
      </x:c>
      <x:c r="O12" s="20" t="n">
        <x:f>K12-M12-I12</x:f>
        <x:v>61939</x:v>
      </x:c>
      <x:c r="P12" s="20" t="n">
        <x:f>L12-N12-J12</x:f>
        <x:v>25347.61</x:v>
      </x:c>
      <x:c r="Q12" s="20" t="n">
        <x:f>L12-K12</x:f>
        <x:v>-33971.25</x:v>
      </x:c>
      <x:c r="R12" s="20" t="n">
        <x:f>P12-O12</x:f>
        <x:v>-36591.39</x:v>
      </x:c>
    </x:row>
    <x:row r="13" ht="20" customHeight="1">
      <x:c r="A13" t="str">
        <x:v>2026-03</x:v>
      </x:c>
      <x:c r="B13" t="str">
        <x:v>Premium</x:v>
      </x:c>
      <x:c r="C13" s="16" t="n">
        <x:v>2528</x:v>
      </x:c>
      <x:c r="D13" s="16" t="n">
        <x:v>2516</x:v>
      </x:c>
      <x:c r="E13" s="16" t="n">
        <x:v>114</x:v>
      </x:c>
      <x:c r="F13" s="16" t="n">
        <x:v>117.88</x:v>
      </x:c>
      <x:c r="G13" s="16" t="n">
        <x:v>66</x:v>
      </x:c>
      <x:c r="H13" s="16" t="n">
        <x:v>67.95</x:v>
      </x:c>
      <x:c r="I13" s="16" t="n">
        <x:v>97388</x:v>
      </x:c>
      <x:c r="J13" s="16" t="n">
        <x:v>97406.49</x:v>
      </x:c>
      <x:c r="K13" s="20" t="n">
        <x:f>C13*E13</x:f>
        <x:v>288192</x:v>
      </x:c>
      <x:c r="L13" s="20" t="n">
        <x:f>D13*F13</x:f>
        <x:v>296586.08</x:v>
      </x:c>
      <x:c r="M13" s="20" t="n">
        <x:f>C13*G13</x:f>
        <x:v>166848</x:v>
      </x:c>
      <x:c r="N13" s="20" t="n">
        <x:f>D13*H13</x:f>
        <x:v>170962.2</x:v>
      </x:c>
      <x:c r="O13" s="20" t="n">
        <x:f>K13-M13-I13</x:f>
        <x:v>23956</x:v>
      </x:c>
      <x:c r="P13" s="20" t="n">
        <x:f>L13-N13-J13</x:f>
        <x:v>28217.39</x:v>
      </x:c>
      <x:c r="Q13" s="20" t="n">
        <x:f>L13-K13</x:f>
        <x:v>8394.080000000016</x:v>
      </x:c>
      <x:c r="R13" s="20" t="n">
        <x:f>P13-O13</x:f>
        <x:v>4261.389999999999</x:v>
      </x:c>
    </x:row>
    <x:row r="14" ht="20" customHeight="1">
      <x:c r="A14" t="str">
        <x:v>2026-03</x:v>
      </x:c>
      <x:c r="B14" t="str">
        <x:v>Accessories</x:v>
      </x:c>
      <x:c r="C14" s="16" t="n">
        <x:v>4595</x:v>
      </x:c>
      <x:c r="D14" s="16" t="n">
        <x:v>4579</x:v>
      </x:c>
      <x:c r="E14" s="16" t="n">
        <x:v>26</x:v>
      </x:c>
      <x:c r="F14" s="16" t="n">
        <x:v>26</x:v>
      </x:c>
      <x:c r="G14" s="16" t="n">
        <x:v>11</x:v>
      </x:c>
      <x:c r="H14" s="16" t="n">
        <x:v>10.97</x:v>
      </x:c>
      <x:c r="I14" s="16" t="n">
        <x:v>66264</x:v>
      </x:c>
      <x:c r="J14" s="16" t="n">
        <x:v>66591.89</x:v>
      </x:c>
      <x:c r="K14" s="20" t="n">
        <x:f>C14*E14</x:f>
        <x:v>119470</x:v>
      </x:c>
      <x:c r="L14" s="20" t="n">
        <x:f>D14*F14</x:f>
        <x:v>119054</x:v>
      </x:c>
      <x:c r="M14" s="20" t="n">
        <x:f>C14*G14</x:f>
        <x:v>50545</x:v>
      </x:c>
      <x:c r="N14" s="20" t="n">
        <x:f>D14*H14</x:f>
        <x:v>50231.630000000005</x:v>
      </x:c>
      <x:c r="O14" s="20" t="n">
        <x:f>K14-M14-I14</x:f>
        <x:v>2661</x:v>
      </x:c>
      <x:c r="P14" s="20" t="n">
        <x:f>L14-N14-J14</x:f>
        <x:v>2230.479999999996</x:v>
      </x:c>
      <x:c r="Q14" s="20" t="n">
        <x:f>L14-K14</x:f>
        <x:v>-416</x:v>
      </x:c>
      <x:c r="R14" s="20" t="n">
        <x:f>P14-O14</x:f>
        <x:v>-430.5200000000041</x:v>
      </x:c>
    </x:row>
    <x:row r="15" ht="20" customHeight="1">
      <x:c r="A15" t="str">
        <x:v>2026-04</x:v>
      </x:c>
      <x:c r="B15" t="str">
        <x:v>Core</x:v>
      </x:c>
      <x:c r="C15" s="16" t="n">
        <x:v>7734</x:v>
      </x:c>
      <x:c r="D15" s="16" t="n">
        <x:v>7971</x:v>
      </x:c>
      <x:c r="E15" s="16" t="n">
        <x:v>54</x:v>
      </x:c>
      <x:c r="F15" s="16" t="n">
        <x:v>53.72</x:v>
      </x:c>
      <x:c r="G15" s="16" t="n">
        <x:v>31</x:v>
      </x:c>
      <x:c r="H15" s="16" t="n">
        <x:v>32.43</x:v>
      </x:c>
      <x:c r="I15" s="16" t="n">
        <x:v>115690</x:v>
      </x:c>
      <x:c r="J15" s="16" t="n">
        <x:v>118237.59</x:v>
      </x:c>
      <x:c r="K15" s="20" t="n">
        <x:f>C15*E15</x:f>
        <x:v>417636</x:v>
      </x:c>
      <x:c r="L15" s="20" t="n">
        <x:f>D15*F15</x:f>
        <x:v>428202.12</x:v>
      </x:c>
      <x:c r="M15" s="20" t="n">
        <x:f>C15*G15</x:f>
        <x:v>239754</x:v>
      </x:c>
      <x:c r="N15" s="20" t="n">
        <x:f>D15*H15</x:f>
        <x:v>258499.53</x:v>
      </x:c>
      <x:c r="O15" s="20" t="n">
        <x:f>K15-M15-I15</x:f>
        <x:v>62192</x:v>
      </x:c>
      <x:c r="P15" s="20" t="n">
        <x:f>L15-N15-J15</x:f>
        <x:v>51465</x:v>
      </x:c>
      <x:c r="Q15" s="20" t="n">
        <x:f>L15-K15</x:f>
        <x:v>10566.119999999995</x:v>
      </x:c>
      <x:c r="R15" s="20" t="n">
        <x:f>P15-O15</x:f>
        <x:v>-10727</x:v>
      </x:c>
    </x:row>
    <x:row r="16" ht="20" customHeight="1">
      <x:c r="A16" t="str">
        <x:v>2026-04</x:v>
      </x:c>
      <x:c r="B16" t="str">
        <x:v>Premium</x:v>
      </x:c>
      <x:c r="C16" s="16" t="n">
        <x:v>2517</x:v>
      </x:c>
      <x:c r="D16" s="16" t="n">
        <x:v>2454</x:v>
      </x:c>
      <x:c r="E16" s="16" t="n">
        <x:v>114</x:v>
      </x:c>
      <x:c r="F16" s="16" t="n">
        <x:v>111.5</x:v>
      </x:c>
      <x:c r="G16" s="16" t="n">
        <x:v>66</x:v>
      </x:c>
      <x:c r="H16" s="16" t="n">
        <x:v>66.97</x:v>
      </x:c>
      <x:c r="I16" s="16" t="n">
        <x:v>97582</x:v>
      </x:c>
      <x:c r="J16" s="16" t="n">
        <x:v>102441.4</x:v>
      </x:c>
      <x:c r="K16" s="20" t="n">
        <x:f>C16*E16</x:f>
        <x:v>286938</x:v>
      </x:c>
      <x:c r="L16" s="20" t="n">
        <x:f>D16*F16</x:f>
        <x:v>273621</x:v>
      </x:c>
      <x:c r="M16" s="20" t="n">
        <x:f>C16*G16</x:f>
        <x:v>166122</x:v>
      </x:c>
      <x:c r="N16" s="20" t="n">
        <x:f>D16*H16</x:f>
        <x:v>164344.38</x:v>
      </x:c>
      <x:c r="O16" s="20" t="n">
        <x:f>K16-M16-I16</x:f>
        <x:v>23234</x:v>
      </x:c>
      <x:c r="P16" s="20" t="n">
        <x:f>L16-N16-J16</x:f>
        <x:v>6835.220000000001</x:v>
      </x:c>
      <x:c r="Q16" s="20" t="n">
        <x:f>L16-K16</x:f>
        <x:v>-13317</x:v>
      </x:c>
      <x:c r="R16" s="20" t="n">
        <x:f>P16-O16</x:f>
        <x:v>-16398.78</x:v>
      </x:c>
    </x:row>
    <x:row r="17" ht="20" customHeight="1">
      <x:c r="A17" t="str">
        <x:v>2026-04</x:v>
      </x:c>
      <x:c r="B17" t="str">
        <x:v>Accessories</x:v>
      </x:c>
      <x:c r="C17" s="16" t="n">
        <x:v>4550</x:v>
      </x:c>
      <x:c r="D17" s="16" t="n">
        <x:v>4353</x:v>
      </x:c>
      <x:c r="E17" s="16" t="n">
        <x:v>26</x:v>
      </x:c>
      <x:c r="F17" s="16" t="n">
        <x:v>26.28</x:v>
      </x:c>
      <x:c r="G17" s="16" t="n">
        <x:v>11</x:v>
      </x:c>
      <x:c r="H17" s="16" t="n">
        <x:v>10.72</x:v>
      </x:c>
      <x:c r="I17" s="16" t="n">
        <x:v>66396</x:v>
      </x:c>
      <x:c r="J17" s="16" t="n">
        <x:v>69563.53</x:v>
      </x:c>
      <x:c r="K17" s="20" t="n">
        <x:f>C17*E17</x:f>
        <x:v>118300</x:v>
      </x:c>
      <x:c r="L17" s="20" t="n">
        <x:f>D17*F17</x:f>
        <x:v>114396.84000000001</x:v>
      </x:c>
      <x:c r="M17" s="20" t="n">
        <x:f>C17*G17</x:f>
        <x:v>50050</x:v>
      </x:c>
      <x:c r="N17" s="20" t="n">
        <x:f>D17*H17</x:f>
        <x:v>46664.16</x:v>
      </x:c>
      <x:c r="O17" s="20" t="n">
        <x:f>K17-M17-I17</x:f>
        <x:v>1854</x:v>
      </x:c>
      <x:c r="P17" s="20" t="n">
        <x:f>L17-N17-J17</x:f>
        <x:v>-1830.8499999999913</x:v>
      </x:c>
      <x:c r="Q17" s="20" t="n">
        <x:f>L17-K17</x:f>
        <x:v>-3903.159999999989</x:v>
      </x:c>
      <x:c r="R17" s="20" t="n">
        <x:f>P17-O17</x:f>
        <x:v>-3684.8499999999913</x:v>
      </x:c>
    </x:row>
    <x:row r="18" ht="20" customHeight="1">
      <x:c r="A18" t="str">
        <x:v>2026-05</x:v>
      </x:c>
      <x:c r="B18" t="str">
        <x:v>Core</x:v>
      </x:c>
      <x:c r="C18" s="16" t="n">
        <x:v>7684</x:v>
      </x:c>
      <x:c r="D18" s="16" t="n">
        <x:v>6660</x:v>
      </x:c>
      <x:c r="E18" s="16" t="n">
        <x:v>54</x:v>
      </x:c>
      <x:c r="F18" s="16" t="n">
        <x:v>53.32</x:v>
      </x:c>
      <x:c r="G18" s="16" t="n">
        <x:v>31</x:v>
      </x:c>
      <x:c r="H18" s="16" t="n">
        <x:v>31.18</x:v>
      </x:c>
      <x:c r="I18" s="16" t="n">
        <x:v>115920</x:v>
      </x:c>
      <x:c r="J18" s="16" t="n">
        <x:v>119054.4</x:v>
      </x:c>
      <x:c r="K18" s="20" t="n">
        <x:f>C18*E18</x:f>
        <x:v>414936</x:v>
      </x:c>
      <x:c r="L18" s="20" t="n">
        <x:f>D18*F18</x:f>
        <x:v>355111.2</x:v>
      </x:c>
      <x:c r="M18" s="20" t="n">
        <x:f>C18*G18</x:f>
        <x:v>238204</x:v>
      </x:c>
      <x:c r="N18" s="20" t="n">
        <x:f>D18*H18</x:f>
        <x:v>207658.8</x:v>
      </x:c>
      <x:c r="O18" s="20" t="n">
        <x:f>K18-M18-I18</x:f>
        <x:v>60812</x:v>
      </x:c>
      <x:c r="P18" s="20" t="n">
        <x:f>L18-N18-J18</x:f>
        <x:v>28398.00000000003</x:v>
      </x:c>
      <x:c r="Q18" s="20" t="n">
        <x:f>L18-K18</x:f>
        <x:v>-59824.79999999999</x:v>
      </x:c>
      <x:c r="R18" s="20" t="n">
        <x:f>P18-O18</x:f>
        <x:v>-32413.99999999997</x:v>
      </x:c>
    </x:row>
    <x:row r="19" ht="20" customHeight="1">
      <x:c r="A19" t="str">
        <x:v>2026-05</x:v>
      </x:c>
      <x:c r="B19" t="str">
        <x:v>Premium</x:v>
      </x:c>
      <x:c r="C19" s="16" t="n">
        <x:v>2489</x:v>
      </x:c>
      <x:c r="D19" s="16" t="n">
        <x:v>2464</x:v>
      </x:c>
      <x:c r="E19" s="16" t="n">
        <x:v>114</x:v>
      </x:c>
      <x:c r="F19" s="16" t="n">
        <x:v>112.38</x:v>
      </x:c>
      <x:c r="G19" s="16" t="n">
        <x:v>66</x:v>
      </x:c>
      <x:c r="H19" s="16" t="n">
        <x:v>67.23</x:v>
      </x:c>
      <x:c r="I19" s="16" t="n">
        <x:v>97776</x:v>
      </x:c>
      <x:c r="J19" s="16" t="n">
        <x:v>101681.46</x:v>
      </x:c>
      <x:c r="K19" s="20" t="n">
        <x:f>C19*E19</x:f>
        <x:v>283746</x:v>
      </x:c>
      <x:c r="L19" s="20" t="n">
        <x:f>D19*F19</x:f>
        <x:v>276904.32</x:v>
      </x:c>
      <x:c r="M19" s="20" t="n">
        <x:f>C19*G19</x:f>
        <x:v>164274</x:v>
      </x:c>
      <x:c r="N19" s="20" t="n">
        <x:f>D19*H19</x:f>
        <x:v>165654.72</x:v>
      </x:c>
      <x:c r="O19" s="20" t="n">
        <x:f>K19-M19-I19</x:f>
        <x:v>21696</x:v>
      </x:c>
      <x:c r="P19" s="20" t="n">
        <x:f>L19-N19-J19</x:f>
        <x:v>9568.14</x:v>
      </x:c>
      <x:c r="Q19" s="20" t="n">
        <x:f>L19-K19</x:f>
        <x:v>-6841.679999999993</x:v>
      </x:c>
      <x:c r="R19" s="20" t="n">
        <x:f>P19-O19</x:f>
        <x:v>-12127.86</x:v>
      </x:c>
    </x:row>
    <x:row r="20" ht="20" customHeight="1">
      <x:c r="A20" t="str">
        <x:v>2026-05</x:v>
      </x:c>
      <x:c r="B20" t="str">
        <x:v>Accessories</x:v>
      </x:c>
      <x:c r="C20" s="16" t="n">
        <x:v>4491</x:v>
      </x:c>
      <x:c r="D20" s="16" t="n">
        <x:v>4255</x:v>
      </x:c>
      <x:c r="E20" s="16" t="n">
        <x:v>26</x:v>
      </x:c>
      <x:c r="F20" s="16" t="n">
        <x:v>25.61</x:v>
      </x:c>
      <x:c r="G20" s="16" t="n">
        <x:v>11</x:v>
      </x:c>
      <x:c r="H20" s="16" t="n">
        <x:v>11.49</x:v>
      </x:c>
      <x:c r="I20" s="16" t="n">
        <x:v>66528</x:v>
      </x:c>
      <x:c r="J20" s="16" t="n">
        <x:v>63778.34</x:v>
      </x:c>
      <x:c r="K20" s="20" t="n">
        <x:f>C20*E20</x:f>
        <x:v>116766</x:v>
      </x:c>
      <x:c r="L20" s="20" t="n">
        <x:f>D20*F20</x:f>
        <x:v>108970.55</x:v>
      </x:c>
      <x:c r="M20" s="20" t="n">
        <x:f>C20*G20</x:f>
        <x:v>49401</x:v>
      </x:c>
      <x:c r="N20" s="20" t="n">
        <x:f>D20*H20</x:f>
        <x:v>48889.950000000004</x:v>
      </x:c>
      <x:c r="O20" s="20" t="n">
        <x:f>K20-M20-I20</x:f>
        <x:v>837</x:v>
      </x:c>
      <x:c r="P20" s="20" t="n">
        <x:f>L20-N20-J20</x:f>
        <x:v>-3697.739999999998</x:v>
      </x:c>
      <x:c r="Q20" s="20" t="n">
        <x:f>L20-K20</x:f>
        <x:v>-7795.449999999997</x:v>
      </x:c>
      <x:c r="R20" s="20" t="n">
        <x:f>P20-O20</x:f>
        <x:v>-4534.739999999998</x:v>
      </x:c>
    </x:row>
    <x:row r="21" ht="20" customHeight="1">
      <x:c r="A21" t="str">
        <x:v>2026-06</x:v>
      </x:c>
      <x:c r="B21" t="str">
        <x:v>Core</x:v>
      </x:c>
      <x:c r="C21" s="16" t="n">
        <x:v>7592</x:v>
      </x:c>
      <x:c r="D21" s="16" t="n">
        <x:v>8819</x:v>
      </x:c>
      <x:c r="E21" s="16" t="n">
        <x:v>54</x:v>
      </x:c>
      <x:c r="F21" s="16" t="n">
        <x:v>53.08</x:v>
      </x:c>
      <x:c r="G21" s="16" t="n">
        <x:v>31</x:v>
      </x:c>
      <x:c r="H21" s="16" t="n">
        <x:v>32.76</x:v>
      </x:c>
      <x:c r="I21" s="16" t="n">
        <x:v>116150</x:v>
      </x:c>
      <x:c r="J21" s="16" t="n">
        <x:v>118319.39</x:v>
      </x:c>
      <x:c r="K21" s="20" t="n">
        <x:f>C21*E21</x:f>
        <x:v>409968</x:v>
      </x:c>
      <x:c r="L21" s="20" t="n">
        <x:f>D21*F21</x:f>
        <x:v>468112.51999999996</x:v>
      </x:c>
      <x:c r="M21" s="20" t="n">
        <x:f>C21*G21</x:f>
        <x:v>235352</x:v>
      </x:c>
      <x:c r="N21" s="20" t="n">
        <x:f>D21*H21</x:f>
        <x:v>288910.44</x:v>
      </x:c>
      <x:c r="O21" s="20" t="n">
        <x:f>K21-M21-I21</x:f>
        <x:v>58466</x:v>
      </x:c>
      <x:c r="P21" s="20" t="n">
        <x:f>L21-N21-J21</x:f>
        <x:v>60882.68999999996</x:v>
      </x:c>
      <x:c r="Q21" s="20" t="n">
        <x:f>L21-K21</x:f>
        <x:v>58144.51999999996</x:v>
      </x:c>
      <x:c r="R21" s="20" t="n">
        <x:f>P21-O21</x:f>
        <x:v>2416.6899999999587</x:v>
      </x:c>
    </x:row>
    <x:row r="22" ht="20" customHeight="1">
      <x:c r="A22" t="str">
        <x:v>2026-06</x:v>
      </x:c>
      <x:c r="B22" t="str">
        <x:v>Premium</x:v>
      </x:c>
      <x:c r="C22" s="16" t="n">
        <x:v>2457</x:v>
      </x:c>
      <x:c r="D22" s="16" t="n">
        <x:v>2263</x:v>
      </x:c>
      <x:c r="E22" s="16" t="n">
        <x:v>114</x:v>
      </x:c>
      <x:c r="F22" s="16" t="n">
        <x:v>114.05</x:v>
      </x:c>
      <x:c r="G22" s="16" t="n">
        <x:v>66</x:v>
      </x:c>
      <x:c r="H22" s="16" t="n">
        <x:v>67.29</x:v>
      </x:c>
      <x:c r="I22" s="16" t="n">
        <x:v>97970</x:v>
      </x:c>
      <x:c r="J22" s="16" t="n">
        <x:v>97951.41</x:v>
      </x:c>
      <x:c r="K22" s="20" t="n">
        <x:f>C22*E22</x:f>
        <x:v>280098</x:v>
      </x:c>
      <x:c r="L22" s="20" t="n">
        <x:f>D22*F22</x:f>
        <x:v>258095.15</x:v>
      </x:c>
      <x:c r="M22" s="20" t="n">
        <x:f>C22*G22</x:f>
        <x:v>162162</x:v>
      </x:c>
      <x:c r="N22" s="20" t="n">
        <x:f>D22*H22</x:f>
        <x:v>152277.27000000002</x:v>
      </x:c>
      <x:c r="O22" s="20" t="n">
        <x:f>K22-M22-I22</x:f>
        <x:v>19966</x:v>
      </x:c>
      <x:c r="P22" s="20" t="n">
        <x:f>L22-N22-J22</x:f>
        <x:v>7866.469999999972</x:v>
      </x:c>
      <x:c r="Q22" s="20" t="n">
        <x:f>L22-K22</x:f>
        <x:v>-22002.850000000006</x:v>
      </x:c>
      <x:c r="R22" s="20" t="n">
        <x:f>P22-O22</x:f>
        <x:v>-12099.530000000028</x:v>
      </x:c>
    </x:row>
    <x:row r="23" ht="20" customHeight="1">
      <x:c r="A23" t="str">
        <x:v>2026-06</x:v>
      </x:c>
      <x:c r="B23" t="str">
        <x:v>Accessories</x:v>
      </x:c>
      <x:c r="C23" s="16" t="n">
        <x:v>4445</x:v>
      </x:c>
      <x:c r="D23" s="16" t="n">
        <x:v>4469</x:v>
      </x:c>
      <x:c r="E23" s="16" t="n">
        <x:v>26</x:v>
      </x:c>
      <x:c r="F23" s="16" t="n">
        <x:v>25.47</x:v>
      </x:c>
      <x:c r="G23" s="16" t="n">
        <x:v>11</x:v>
      </x:c>
      <x:c r="H23" s="16" t="n">
        <x:v>11.26</x:v>
      </x:c>
      <x:c r="I23" s="16" t="n">
        <x:v>66660</x:v>
      </x:c>
      <x:c r="J23" s="16" t="n">
        <x:v>69569.55</x:v>
      </x:c>
      <x:c r="K23" s="20" t="n">
        <x:f>C23*E23</x:f>
        <x:v>115570</x:v>
      </x:c>
      <x:c r="L23" s="20" t="n">
        <x:f>D23*F23</x:f>
        <x:v>113825.43</x:v>
      </x:c>
      <x:c r="M23" s="20" t="n">
        <x:f>C23*G23</x:f>
        <x:v>48895</x:v>
      </x:c>
      <x:c r="N23" s="20" t="n">
        <x:f>D23*H23</x:f>
        <x:v>50320.94</x:v>
      </x:c>
      <x:c r="O23" s="20" t="n">
        <x:f>K23-M23-I23</x:f>
        <x:v>15</x:v>
      </x:c>
      <x:c r="P23" s="20" t="n">
        <x:f>L23-N23-J23</x:f>
        <x:v>-6065.060000000012</x:v>
      </x:c>
      <x:c r="Q23" s="20" t="n">
        <x:f>L23-K23</x:f>
        <x:v>-1744.570000000007</x:v>
      </x:c>
      <x:c r="R23" s="20" t="n">
        <x:f>P23-O23</x:f>
        <x:v>-6080.060000000012</x:v>
      </x:c>
    </x:row>
    <x:row r="24" ht="20" customHeight="1">
      <x:c r="A24" t="str">
        <x:v>2026-07</x:v>
      </x:c>
      <x:c r="B24" t="str">
        <x:v>Core</x:v>
      </x:c>
      <x:c r="C24" s="16" t="n">
        <x:v>7497</x:v>
      </x:c>
      <x:c r="D24" s="16" t="n">
        <x:v>7828</x:v>
      </x:c>
      <x:c r="E24" s="16" t="n">
        <x:v>54</x:v>
      </x:c>
      <x:c r="F24" s="16" t="n">
        <x:v>54.61</x:v>
      </x:c>
      <x:c r="G24" s="16" t="n">
        <x:v>31</x:v>
      </x:c>
      <x:c r="H24" s="16" t="n">
        <x:v>31.85</x:v>
      </x:c>
      <x:c r="I24" s="16" t="n">
        <x:v>116380</x:v>
      </x:c>
      <x:c r="J24" s="16" t="n">
        <x:v>118836.47</x:v>
      </x:c>
      <x:c r="K24" s="20" t="n">
        <x:f>C24*E24</x:f>
        <x:v>404838</x:v>
      </x:c>
      <x:c r="L24" s="20" t="n">
        <x:f>D24*F24</x:f>
        <x:v>427487.08</x:v>
      </x:c>
      <x:c r="M24" s="20" t="n">
        <x:f>C24*G24</x:f>
        <x:v>232407</x:v>
      </x:c>
      <x:c r="N24" s="20" t="n">
        <x:f>D24*H24</x:f>
        <x:v>249321.80000000002</x:v>
      </x:c>
      <x:c r="O24" s="20" t="n">
        <x:f>K24-M24-I24</x:f>
        <x:v>56051</x:v>
      </x:c>
      <x:c r="P24" s="20" t="n">
        <x:f>L24-N24-J24</x:f>
        <x:v>59328.81</x:v>
      </x:c>
      <x:c r="Q24" s="20" t="n">
        <x:f>L24-K24</x:f>
        <x:v>22649.080000000016</x:v>
      </x:c>
      <x:c r="R24" s="20" t="n">
        <x:f>P24-O24</x:f>
        <x:v>3277.8099999999977</x:v>
      </x:c>
    </x:row>
    <x:row r="25" ht="20" customHeight="1">
      <x:c r="A25" t="str">
        <x:v>2026-07</x:v>
      </x:c>
      <x:c r="B25" t="str">
        <x:v>Premium</x:v>
      </x:c>
      <x:c r="C25" s="16" t="n">
        <x:v>2435</x:v>
      </x:c>
      <x:c r="D25" s="16" t="n">
        <x:v>2360</x:v>
      </x:c>
      <x:c r="E25" s="16" t="n">
        <x:v>114</x:v>
      </x:c>
      <x:c r="F25" s="16" t="n">
        <x:v>116.48</x:v>
      </x:c>
      <x:c r="G25" s="16" t="n">
        <x:v>66</x:v>
      </x:c>
      <x:c r="H25" s="16" t="n">
        <x:v>70.66</x:v>
      </x:c>
      <x:c r="I25" s="16" t="n">
        <x:v>98164</x:v>
      </x:c>
      <x:c r="J25" s="16" t="n">
        <x:v>101833.74</x:v>
      </x:c>
      <x:c r="K25" s="20" t="n">
        <x:f>C25*E25</x:f>
        <x:v>277590</x:v>
      </x:c>
      <x:c r="L25" s="20" t="n">
        <x:f>D25*F25</x:f>
        <x:v>274892.8</x:v>
      </x:c>
      <x:c r="M25" s="20" t="n">
        <x:f>C25*G25</x:f>
        <x:v>160710</x:v>
      </x:c>
      <x:c r="N25" s="20" t="n">
        <x:f>D25*H25</x:f>
        <x:v>166757.6</x:v>
      </x:c>
      <x:c r="O25" s="20" t="n">
        <x:f>K25-M25-I25</x:f>
        <x:v>18716</x:v>
      </x:c>
      <x:c r="P25" s="20" t="n">
        <x:f>L25-N25-J25</x:f>
        <x:v>6301.459999999977</x:v>
      </x:c>
      <x:c r="Q25" s="20" t="n">
        <x:f>L25-K25</x:f>
        <x:v>-2697.2000000000116</x:v>
      </x:c>
      <x:c r="R25" s="20" t="n">
        <x:f>P25-O25</x:f>
        <x:v>-12414.540000000023</x:v>
      </x:c>
    </x:row>
    <x:row r="26" ht="20" customHeight="1">
      <x:c r="A26" t="str">
        <x:v>2026-07</x:v>
      </x:c>
      <x:c r="B26" t="str">
        <x:v>Accessories</x:v>
      </x:c>
      <x:c r="C26" s="16" t="n">
        <x:v>4432</x:v>
      </x:c>
      <x:c r="D26" s="16" t="n">
        <x:v>4248</x:v>
      </x:c>
      <x:c r="E26" s="16" t="n">
        <x:v>26</x:v>
      </x:c>
      <x:c r="F26" s="16" t="n">
        <x:v>26.72</x:v>
      </x:c>
      <x:c r="G26" s="16" t="n">
        <x:v>11</x:v>
      </x:c>
      <x:c r="H26" s="16" t="n">
        <x:v>11.45</x:v>
      </x:c>
      <x:c r="I26" s="16" t="n">
        <x:v>66792</x:v>
      </x:c>
      <x:c r="J26" s="16" t="n">
        <x:v>70150.68</x:v>
      </x:c>
      <x:c r="K26" s="20" t="n">
        <x:f>C26*E26</x:f>
        <x:v>115232</x:v>
      </x:c>
      <x:c r="L26" s="20" t="n">
        <x:f>D26*F26</x:f>
        <x:v>113506.56</x:v>
      </x:c>
      <x:c r="M26" s="20" t="n">
        <x:f>C26*G26</x:f>
        <x:v>48752</x:v>
      </x:c>
      <x:c r="N26" s="20" t="n">
        <x:f>D26*H26</x:f>
        <x:v>48639.6</x:v>
      </x:c>
      <x:c r="O26" s="20" t="n">
        <x:f>K26-M26-I26</x:f>
        <x:v>-312</x:v>
      </x:c>
      <x:c r="P26" s="20" t="n">
        <x:f>L26-N26-J26</x:f>
        <x:v>-5283.719999999994</x:v>
      </x:c>
      <x:c r="Q26" s="20" t="n">
        <x:f>L26-K26</x:f>
        <x:v>-1725.4400000000023</x:v>
      </x:c>
      <x:c r="R26" s="20" t="n">
        <x:f>P26-O26</x:f>
        <x:v>-4971.719999999994</x:v>
      </x:c>
    </x:row>
    <x:row r="27" ht="20" customHeight="1">
      <x:c r="A27" t="str">
        <x:v>2026-08</x:v>
      </x:c>
      <x:c r="B27" t="str">
        <x:v>Core</x:v>
      </x:c>
      <x:c r="C27" s="16" t="n">
        <x:v>7442</x:v>
      </x:c>
      <x:c r="D27" s="16" t="n">
        <x:v>7389</x:v>
      </x:c>
      <x:c r="E27" s="16" t="n">
        <x:v>54</x:v>
      </x:c>
      <x:c r="F27" s="16" t="n">
        <x:v>54.64</x:v>
      </x:c>
      <x:c r="G27" s="16" t="n">
        <x:v>31</x:v>
      </x:c>
      <x:c r="H27" s="16" t="n">
        <x:v>31.81</x:v>
      </x:c>
      <x:c r="I27" s="16" t="n">
        <x:v>116610</x:v>
      </x:c>
      <x:c r="J27" s="16" t="n">
        <x:v>119237.05</x:v>
      </x:c>
      <x:c r="K27" s="20" t="n">
        <x:f>C27*E27</x:f>
        <x:v>401868</x:v>
      </x:c>
      <x:c r="L27" s="20" t="n">
        <x:f>D27*F27</x:f>
        <x:v>403734.96</x:v>
      </x:c>
      <x:c r="M27" s="20" t="n">
        <x:f>C27*G27</x:f>
        <x:v>230702</x:v>
      </x:c>
      <x:c r="N27" s="20" t="n">
        <x:f>D27*H27</x:f>
        <x:v>235044.09</x:v>
      </x:c>
      <x:c r="O27" s="20" t="n">
        <x:f>K27-M27-I27</x:f>
        <x:v>54556</x:v>
      </x:c>
      <x:c r="P27" s="20" t="n">
        <x:f>L27-N27-J27</x:f>
        <x:v>49453.82000000002</x:v>
      </x:c>
      <x:c r="Q27" s="20" t="n">
        <x:f>L27-K27</x:f>
        <x:v>1866.960000000021</x:v>
      </x:c>
      <x:c r="R27" s="20" t="n">
        <x:f>P27-O27</x:f>
        <x:v>-5102.1799999999785</x:v>
      </x:c>
    </x:row>
    <x:row r="28" ht="20" customHeight="1">
      <x:c r="A28" t="str">
        <x:v>2026-08</x:v>
      </x:c>
      <x:c r="B28" t="str">
        <x:v>Premium</x:v>
      </x:c>
      <x:c r="C28" s="16" t="n">
        <x:v>2434</x:v>
      </x:c>
      <x:c r="D28" s="16" t="n">
        <x:v>2415</x:v>
      </x:c>
      <x:c r="E28" s="16" t="n">
        <x:v>114</x:v>
      </x:c>
      <x:c r="F28" s="16" t="n">
        <x:v>111.14</x:v>
      </x:c>
      <x:c r="G28" s="16" t="n">
        <x:v>66</x:v>
      </x:c>
      <x:c r="H28" s="16" t="n">
        <x:v>67.25</x:v>
      </x:c>
      <x:c r="I28" s="16" t="n">
        <x:v>98358</x:v>
      </x:c>
      <x:c r="J28" s="16" t="n">
        <x:v>104863.2</x:v>
      </x:c>
      <x:c r="K28" s="20" t="n">
        <x:f>C28*E28</x:f>
        <x:v>277476</x:v>
      </x:c>
      <x:c r="L28" s="20" t="n">
        <x:f>D28*F28</x:f>
        <x:v>268403.1</x:v>
      </x:c>
      <x:c r="M28" s="20" t="n">
        <x:f>C28*G28</x:f>
        <x:v>160644</x:v>
      </x:c>
      <x:c r="N28" s="20" t="n">
        <x:f>D28*H28</x:f>
        <x:v>162408.75</x:v>
      </x:c>
      <x:c r="O28" s="20" t="n">
        <x:f>K28-M28-I28</x:f>
        <x:v>18474</x:v>
      </x:c>
      <x:c r="P28" s="20" t="n">
        <x:f>L28-N28-J28</x:f>
        <x:v>1131.1499999999796</x:v>
      </x:c>
      <x:c r="Q28" s="20" t="n">
        <x:f>L28-K28</x:f>
        <x:v>-9072.900000000023</x:v>
      </x:c>
      <x:c r="R28" s="20" t="n">
        <x:f>P28-O28</x:f>
        <x:v>-17342.85000000002</x:v>
      </x:c>
    </x:row>
    <x:row r="29" ht="20" customHeight="1">
      <x:c r="A29" t="str">
        <x:v>2026-08</x:v>
      </x:c>
      <x:c r="B29" t="str">
        <x:v>Accessories</x:v>
      </x:c>
      <x:c r="C29" s="16" t="n">
        <x:v>4468</x:v>
      </x:c>
      <x:c r="D29" s="16" t="n">
        <x:v>4560</x:v>
      </x:c>
      <x:c r="E29" s="16" t="n">
        <x:v>26</x:v>
      </x:c>
      <x:c r="F29" s="16" t="n">
        <x:v>25.99</x:v>
      </x:c>
      <x:c r="G29" s="16" t="n">
        <x:v>11</x:v>
      </x:c>
      <x:c r="H29" s="16" t="n">
        <x:v>11.2</x:v>
      </x:c>
      <x:c r="I29" s="16" t="n">
        <x:v>66924</x:v>
      </x:c>
      <x:c r="J29" s="16" t="n">
        <x:v>69010.81</x:v>
      </x:c>
      <x:c r="K29" s="20" t="n">
        <x:f>C29*E29</x:f>
        <x:v>116168</x:v>
      </x:c>
      <x:c r="L29" s="20" t="n">
        <x:f>D29*F29</x:f>
        <x:v>118514.4</x:v>
      </x:c>
      <x:c r="M29" s="20" t="n">
        <x:f>C29*G29</x:f>
        <x:v>49148</x:v>
      </x:c>
      <x:c r="N29" s="20" t="n">
        <x:f>D29*H29</x:f>
        <x:v>51072</x:v>
      </x:c>
      <x:c r="O29" s="20" t="n">
        <x:f>K29-M29-I29</x:f>
        <x:v>96</x:v>
      </x:c>
      <x:c r="P29" s="20" t="n">
        <x:f>L29-N29-J29</x:f>
        <x:v>-1568.4100000000035</x:v>
      </x:c>
      <x:c r="Q29" s="20" t="n">
        <x:f>L29-K29</x:f>
        <x:v>2346.399999999994</x:v>
      </x:c>
      <x:c r="R29" s="20" t="n">
        <x:f>P29-O29</x:f>
        <x:v>-1664.4100000000035</x:v>
      </x:c>
    </x:row>
    <x:row r="30" ht="20" customHeight="1">
      <x:c r="A30" t="str">
        <x:v>2026-09</x:v>
      </x:c>
      <x:c r="B30" t="str">
        <x:v>Core</x:v>
      </x:c>
      <x:c r="C30" s="16" t="n">
        <x:v>7457</x:v>
      </x:c>
      <x:c r="D30" s="16" t="n">
        <x:v>7356</x:v>
      </x:c>
      <x:c r="E30" s="16" t="n">
        <x:v>54</x:v>
      </x:c>
      <x:c r="F30" s="16" t="n">
        <x:v>54.85</x:v>
      </x:c>
      <x:c r="G30" s="16" t="n">
        <x:v>31</x:v>
      </x:c>
      <x:c r="H30" s="16" t="n">
        <x:v>32.29</x:v>
      </x:c>
      <x:c r="I30" s="16" t="n">
        <x:v>116840</x:v>
      </x:c>
      <x:c r="J30" s="16" t="n">
        <x:v>115643.52</x:v>
      </x:c>
      <x:c r="K30" s="20" t="n">
        <x:f>C30*E30</x:f>
        <x:v>402678</x:v>
      </x:c>
      <x:c r="L30" s="20" t="n">
        <x:f>D30*F30</x:f>
        <x:v>403476.60000000003</x:v>
      </x:c>
      <x:c r="M30" s="20" t="n">
        <x:f>C30*G30</x:f>
        <x:v>231167</x:v>
      </x:c>
      <x:c r="N30" s="20" t="n">
        <x:f>D30*H30</x:f>
        <x:v>237525.24</x:v>
      </x:c>
      <x:c r="O30" s="20" t="n">
        <x:f>K30-M30-I30</x:f>
        <x:v>54671</x:v>
      </x:c>
      <x:c r="P30" s="20" t="n">
        <x:f>L30-N30-J30</x:f>
        <x:v>50307.84000000004</x:v>
      </x:c>
      <x:c r="Q30" s="20" t="n">
        <x:f>L30-K30</x:f>
        <x:v>798.6000000000349</x:v>
      </x:c>
      <x:c r="R30" s="20" t="n">
        <x:f>P30-O30</x:f>
        <x:v>-4363.15999999996</x:v>
      </x:c>
    </x:row>
    <x:row r="31" ht="20" customHeight="1">
      <x:c r="A31" t="str">
        <x:v>2026-09</x:v>
      </x:c>
      <x:c r="B31" t="str">
        <x:v>Premium</x:v>
      </x:c>
      <x:c r="C31" s="16" t="n">
        <x:v>2460</x:v>
      </x:c>
      <x:c r="D31" s="16" t="n">
        <x:v>2367</x:v>
      </x:c>
      <x:c r="E31" s="16" t="n">
        <x:v>114</x:v>
      </x:c>
      <x:c r="F31" s="16" t="n">
        <x:v>115.51</x:v>
      </x:c>
      <x:c r="G31" s="16" t="n">
        <x:v>66</x:v>
      </x:c>
      <x:c r="H31" s="16" t="n">
        <x:v>70.18</x:v>
      </x:c>
      <x:c r="I31" s="16" t="n">
        <x:v>98552</x:v>
      </x:c>
      <x:c r="J31" s="16" t="n">
        <x:v>96979.56</x:v>
      </x:c>
      <x:c r="K31" s="20" t="n">
        <x:f>C31*E31</x:f>
        <x:v>280440</x:v>
      </x:c>
      <x:c r="L31" s="20" t="n">
        <x:f>D31*F31</x:f>
        <x:v>273412.17</x:v>
      </x:c>
      <x:c r="M31" s="20" t="n">
        <x:f>C31*G31</x:f>
        <x:v>162360</x:v>
      </x:c>
      <x:c r="N31" s="20" t="n">
        <x:f>D31*H31</x:f>
        <x:v>166116.06000000003</x:v>
      </x:c>
      <x:c r="O31" s="20" t="n">
        <x:f>K31-M31-I31</x:f>
        <x:v>19528</x:v>
      </x:c>
      <x:c r="P31" s="20" t="n">
        <x:f>L31-N31-J31</x:f>
        <x:v>10316.54999999996</x:v>
      </x:c>
      <x:c r="Q31" s="20" t="n">
        <x:f>L31-K31</x:f>
        <x:v>-7027.830000000016</x:v>
      </x:c>
      <x:c r="R31" s="20" t="n">
        <x:f>P31-O31</x:f>
        <x:v>-9211.45000000004</x:v>
      </x:c>
    </x:row>
    <x:row r="32" ht="20" customHeight="1">
      <x:c r="A32" t="str">
        <x:v>2026-09</x:v>
      </x:c>
      <x:c r="B32" t="str">
        <x:v>Accessories</x:v>
      </x:c>
      <x:c r="C32" s="16" t="n">
        <x:v>4551</x:v>
      </x:c>
      <x:c r="D32" s="16" t="n">
        <x:v>4419</x:v>
      </x:c>
      <x:c r="E32" s="16" t="n">
        <x:v>26</x:v>
      </x:c>
      <x:c r="F32" s="16" t="n">
        <x:v>25.61</x:v>
      </x:c>
      <x:c r="G32" s="16" t="n">
        <x:v>11</x:v>
      </x:c>
      <x:c r="H32" s="16" t="n">
        <x:v>10.88</x:v>
      </x:c>
      <x:c r="I32" s="16" t="n">
        <x:v>67056</x:v>
      </x:c>
      <x:c r="J32" s="16" t="n">
        <x:v>66040.4</x:v>
      </x:c>
      <x:c r="K32" s="20" t="n">
        <x:f>C32*E32</x:f>
        <x:v>118326</x:v>
      </x:c>
      <x:c r="L32" s="20" t="n">
        <x:f>D32*F32</x:f>
        <x:v>113170.59</x:v>
      </x:c>
      <x:c r="M32" s="20" t="n">
        <x:f>C32*G32</x:f>
        <x:v>50061</x:v>
      </x:c>
      <x:c r="N32" s="20" t="n">
        <x:f>D32*H32</x:f>
        <x:v>48078.72</x:v>
      </x:c>
      <x:c r="O32" s="20" t="n">
        <x:f>K32-M32-I32</x:f>
        <x:v>1209</x:v>
      </x:c>
      <x:c r="P32" s="20" t="n">
        <x:f>L32-N32-J32</x:f>
        <x:v>-948.5299999999988</x:v>
      </x:c>
      <x:c r="Q32" s="20" t="n">
        <x:f>L32-K32</x:f>
        <x:v>-5155.4100000000035</x:v>
      </x:c>
      <x:c r="R32" s="20" t="n">
        <x:f>P32-O32</x:f>
        <x:v>-2157.529999999999</x:v>
      </x:c>
    </x:row>
    <x:row r="33" ht="20" customHeight="1"/>
    <x:row r="34" ht="20" customHeight="1"/>
    <x:row r="35" ht="20" customHeight="1"/>
    <x:row r="36" ht="20" customHeight="1"/>
    <x:row r="37" ht="20" customHeight="1"/>
  </x:sheetData>
  <x:mergeCells>
    <x:mergeCell ref="A1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5" customHeight="1">
      <x:c r="A1" s="3" t="str">
        <x:v>Monthly Budget / Actual Variances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6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 ht="28" customHeight="1">
      <x:c r="A5" s="7" t="str">
        <x:v>Month</x:v>
      </x:c>
      <x:c r="B5" s="7" t="str">
        <x:v>Budget revenue</x:v>
      </x:c>
      <x:c r="C5" s="7" t="str">
        <x:v>Actual revenue</x:v>
      </x:c>
      <x:c r="D5" s="7" t="str">
        <x:v>Revenue var</x:v>
      </x:c>
      <x:c r="E5" s="7" t="str">
        <x:v>Budget profit</x:v>
      </x:c>
      <x:c r="F5" s="7" t="str">
        <x:v>Actual profit</x:v>
      </x:c>
      <x:c r="G5" s="7" t="str">
        <x:v>Profit var</x:v>
      </x:c>
    </x:row>
    <x:row r="6" ht="20" customHeight="1">
      <x:c r="A6" t="str">
        <x:v>2026-01</x:v>
      </x:c>
      <x:c r="B6" s="26" t="n">
        <x:f>SUMIF(Detail!$A$6:$A$32,$A6,Detail!$K$6:$K$32)</x:f>
        <x:v>803308</x:v>
      </x:c>
      <x:c r="C6" s="26" t="n">
        <x:f>SUMIF(Detail!$A$6:$A$32,$A6,Detail!$L$6:$L$32)</x:f>
        <x:v>786499.87</x:v>
      </x:c>
      <x:c r="D6" s="26" t="n">
        <x:f>C6-B6</x:f>
        <x:v>-16808.130000000005</x:v>
      </x:c>
      <x:c r="E6" s="26" t="n">
        <x:f>SUMIF(Detail!$A$6:$A$32,$A6,Detail!$O$6:$O$32)</x:f>
        <x:v>80719</x:v>
      </x:c>
      <x:c r="F6" s="26" t="n">
        <x:f>SUMIF(Detail!$A$6:$A$32,$A6,Detail!$P$6:$P$32)</x:f>
        <x:v>47825.26000000001</x:v>
      </x:c>
      <x:c r="G6" s="26" t="n">
        <x:f>F6-E6</x:f>
        <x:v>-32893.73999999999</x:v>
      </x:c>
    </x:row>
    <x:row r="7" ht="20" customHeight="1">
      <x:c r="A7" t="str">
        <x:v>2026-02</x:v>
      </x:c>
      <x:c r="B7" s="26" t="n">
        <x:f>SUMIF(Detail!$A$6:$A$32,$A7,Detail!$K$6:$K$32)</x:f>
        <x:v>817568</x:v>
      </x:c>
      <x:c r="C7" s="26" t="n">
        <x:f>SUMIF(Detail!$A$6:$A$32,$A7,Detail!$L$6:$L$32)</x:f>
        <x:v>857353.6699999999</x:v>
      </x:c>
      <x:c r="D7" s="26" t="n">
        <x:f>C7-B7</x:f>
        <x:v>39785.669999999925</x:v>
      </x:c>
      <x:c r="E7" s="26" t="n">
        <x:f>SUMIF(Detail!$A$6:$A$32,$A7,Detail!$O$6:$O$32)</x:f>
        <x:v>86353</x:v>
      </x:c>
      <x:c r="F7" s="26" t="n">
        <x:f>SUMIF(Detail!$A$6:$A$32,$A7,Detail!$P$6:$P$32)</x:f>
        <x:v>96862.12999999998</x:v>
      </x:c>
      <x:c r="G7" s="26" t="n">
        <x:f>F7-E7</x:f>
        <x:v>10509.129999999976</x:v>
      </x:c>
    </x:row>
    <x:row r="8" ht="20" customHeight="1">
      <x:c r="A8" t="str">
        <x:v>2026-03</x:v>
      </x:c>
      <x:c r="B8" s="26" t="n">
        <x:f>SUMIF(Detail!$A$6:$A$32,$A8,Detail!$K$6:$K$32)</x:f>
        <x:v>824164</x:v>
      </x:c>
      <x:c r="C8" s="26" t="n">
        <x:f>SUMIF(Detail!$A$6:$A$32,$A8,Detail!$L$6:$L$32)</x:f>
        <x:v>798170.8300000001</x:v>
      </x:c>
      <x:c r="D8" s="26" t="n">
        <x:f>C8-B8</x:f>
        <x:v>-25993.169999999925</x:v>
      </x:c>
      <x:c r="E8" s="26" t="n">
        <x:f>SUMIF(Detail!$A$6:$A$32,$A8,Detail!$O$6:$O$32)</x:f>
        <x:v>88556</x:v>
      </x:c>
      <x:c r="F8" s="26" t="n">
        <x:f>SUMIF(Detail!$A$6:$A$32,$A8,Detail!$P$6:$P$32)</x:f>
        <x:v>55795.479999999996</x:v>
      </x:c>
      <x:c r="G8" s="26" t="n">
        <x:f>F8-E8</x:f>
        <x:v>-32760.520000000004</x:v>
      </x:c>
    </x:row>
    <x:row r="9" ht="20" customHeight="1">
      <x:c r="A9" t="str">
        <x:v>2026-04</x:v>
      </x:c>
      <x:c r="B9" s="26" t="n">
        <x:f>SUMIF(Detail!$A$6:$A$32,$A9,Detail!$K$6:$K$32)</x:f>
        <x:v>822874</x:v>
      </x:c>
      <x:c r="C9" s="26" t="n">
        <x:f>SUMIF(Detail!$A$6:$A$32,$A9,Detail!$L$6:$L$32)</x:f>
        <x:v>816219.96</x:v>
      </x:c>
      <x:c r="D9" s="26" t="n">
        <x:f>C9-B9</x:f>
        <x:v>-6654.040000000037</x:v>
      </x:c>
      <x:c r="E9" s="26" t="n">
        <x:f>SUMIF(Detail!$A$6:$A$32,$A9,Detail!$O$6:$O$32)</x:f>
        <x:v>87280</x:v>
      </x:c>
      <x:c r="F9" s="26" t="n">
        <x:f>SUMIF(Detail!$A$6:$A$32,$A9,Detail!$P$6:$P$32)</x:f>
        <x:v>56469.37000000001</x:v>
      </x:c>
      <x:c r="G9" s="26" t="n">
        <x:f>F9-E9</x:f>
        <x:v>-30810.62999999999</x:v>
      </x:c>
    </x:row>
    <x:row r="10" ht="20" customHeight="1">
      <x:c r="A10" t="str">
        <x:v>2026-05</x:v>
      </x:c>
      <x:c r="B10" s="26" t="n">
        <x:f>SUMIF(Detail!$A$6:$A$32,$A10,Detail!$K$6:$K$32)</x:f>
        <x:v>815448</x:v>
      </x:c>
      <x:c r="C10" s="26" t="n">
        <x:f>SUMIF(Detail!$A$6:$A$32,$A10,Detail!$L$6:$L$32)</x:f>
        <x:v>740986.0700000001</x:v>
      </x:c>
      <x:c r="D10" s="26" t="n">
        <x:f>C10-B10</x:f>
        <x:v>-74461.92999999993</x:v>
      </x:c>
      <x:c r="E10" s="26" t="n">
        <x:f>SUMIF(Detail!$A$6:$A$32,$A10,Detail!$O$6:$O$32)</x:f>
        <x:v>83345</x:v>
      </x:c>
      <x:c r="F10" s="26" t="n">
        <x:f>SUMIF(Detail!$A$6:$A$32,$A10,Detail!$P$6:$P$32)</x:f>
        <x:v>34268.40000000003</x:v>
      </x:c>
      <x:c r="G10" s="26" t="n">
        <x:f>F10-E10</x:f>
        <x:v>-49076.59999999997</x:v>
      </x:c>
    </x:row>
    <x:row r="11" ht="20" customHeight="1">
      <x:c r="A11" t="str">
        <x:v>2026-06</x:v>
      </x:c>
      <x:c r="B11" s="26" t="n">
        <x:f>SUMIF(Detail!$A$6:$A$32,$A11,Detail!$K$6:$K$32)</x:f>
        <x:v>805636</x:v>
      </x:c>
      <x:c r="C11" s="26" t="n">
        <x:f>SUMIF(Detail!$A$6:$A$32,$A11,Detail!$L$6:$L$32)</x:f>
        <x:v>840033.0999999999</x:v>
      </x:c>
      <x:c r="D11" s="26" t="n">
        <x:f>C11-B11</x:f>
        <x:v>34397.09999999986</x:v>
      </x:c>
      <x:c r="E11" s="26" t="n">
        <x:f>SUMIF(Detail!$A$6:$A$32,$A11,Detail!$O$6:$O$32)</x:f>
        <x:v>78447</x:v>
      </x:c>
      <x:c r="F11" s="26" t="n">
        <x:f>SUMIF(Detail!$A$6:$A$32,$A11,Detail!$P$6:$P$32)</x:f>
        <x:v>62684.09999999992</x:v>
      </x:c>
      <x:c r="G11" s="26" t="n">
        <x:f>F11-E11</x:f>
        <x:v>-15762.900000000081</x:v>
      </x:c>
    </x:row>
    <x:row r="12" ht="20" customHeight="1">
      <x:c r="A12" t="str">
        <x:v>2026-07</x:v>
      </x:c>
      <x:c r="B12" s="26" t="n">
        <x:f>SUMIF(Detail!$A$6:$A$32,$A12,Detail!$K$6:$K$32)</x:f>
        <x:v>797660</x:v>
      </x:c>
      <x:c r="C12" s="26" t="n">
        <x:f>SUMIF(Detail!$A$6:$A$32,$A12,Detail!$L$6:$L$32)</x:f>
        <x:v>815886.44</x:v>
      </x:c>
      <x:c r="D12" s="26" t="n">
        <x:f>C12-B12</x:f>
        <x:v>18226.439999999944</x:v>
      </x:c>
      <x:c r="E12" s="26" t="n">
        <x:f>SUMIF(Detail!$A$6:$A$32,$A12,Detail!$O$6:$O$32)</x:f>
        <x:v>74455</x:v>
      </x:c>
      <x:c r="F12" s="26" t="n">
        <x:f>SUMIF(Detail!$A$6:$A$32,$A12,Detail!$P$6:$P$32)</x:f>
        <x:v>60346.54999999998</x:v>
      </x:c>
      <x:c r="G12" s="26" t="n">
        <x:f>F12-E12</x:f>
        <x:v>-14108.450000000019</x:v>
      </x:c>
    </x:row>
    <x:row r="13" ht="20" customHeight="1">
      <x:c r="A13" t="str">
        <x:v>2026-08</x:v>
      </x:c>
      <x:c r="B13" s="26" t="n">
        <x:f>SUMIF(Detail!$A$6:$A$32,$A13,Detail!$K$6:$K$32)</x:f>
        <x:v>795512</x:v>
      </x:c>
      <x:c r="C13" s="26" t="n">
        <x:f>SUMIF(Detail!$A$6:$A$32,$A13,Detail!$L$6:$L$32)</x:f>
        <x:v>790652.4600000001</x:v>
      </x:c>
      <x:c r="D13" s="26" t="n">
        <x:f>C13-B13</x:f>
        <x:v>-4859.539999999921</x:v>
      </x:c>
      <x:c r="E13" s="26" t="n">
        <x:f>SUMIF(Detail!$A$6:$A$32,$A13,Detail!$O$6:$O$32)</x:f>
        <x:v>73126</x:v>
      </x:c>
      <x:c r="F13" s="26" t="n">
        <x:f>SUMIF(Detail!$A$6:$A$32,$A13,Detail!$P$6:$P$32)</x:f>
        <x:v>49016.56</x:v>
      </x:c>
      <x:c r="G13" s="26" t="n">
        <x:f>F13-E13</x:f>
        <x:v>-24109.440000000002</x:v>
      </x:c>
    </x:row>
    <x:row r="14" ht="20" customHeight="1">
      <x:c r="A14" t="str">
        <x:v>2026-09</x:v>
      </x:c>
      <x:c r="B14" s="26" t="n">
        <x:f>SUMIF(Detail!$A$6:$A$32,$A14,Detail!$K$6:$K$32)</x:f>
        <x:v>801444</x:v>
      </x:c>
      <x:c r="C14" s="26" t="n">
        <x:f>SUMIF(Detail!$A$6:$A$32,$A14,Detail!$L$6:$L$32)</x:f>
        <x:v>790059.36</x:v>
      </x:c>
      <x:c r="D14" s="26" t="n">
        <x:f>C14-B14</x:f>
        <x:v>-11384.640000000014</x:v>
      </x:c>
      <x:c r="E14" s="26" t="n">
        <x:f>SUMIF(Detail!$A$6:$A$32,$A14,Detail!$O$6:$O$32)</x:f>
        <x:v>75408</x:v>
      </x:c>
      <x:c r="F14" s="26" t="n">
        <x:f>SUMIF(Detail!$A$6:$A$32,$A14,Detail!$P$6:$P$32)</x:f>
        <x:v>59675.86</x:v>
      </x:c>
      <x:c r="G14" s="26" t="n">
        <x:f>F14-E14</x:f>
        <x:v>-15732.14</x:v>
      </x:c>
    </x:row>
    <x:row r="15" ht="20" customHeight="1">
      <x:c r="B15" s="26"/>
      <x:c r="C15" s="26"/>
      <x:c r="D15" s="26"/>
      <x:c r="E15" s="26"/>
      <x:c r="F15" s="26"/>
      <x:c r="G15" s="26"/>
    </x:row>
    <x:row r="16" ht="20" customHeight="1">
      <x:c r="A16" s="23" t="str">
        <x:v>TOTAL</x:v>
      </x:c>
      <x:c r="B16" s="27" t="n">
        <x:f>SUM(B6:B14)</x:f>
        <x:v>7283614</x:v>
      </x:c>
      <x:c r="C16" s="27" t="n">
        <x:f>SUM(C6:C14)</x:f>
        <x:v>7235861.76</x:v>
      </x:c>
      <x:c r="D16" s="27" t="n">
        <x:f>SUM(D6:D14)</x:f>
        <x:v>-47752.24000000011</x:v>
      </x:c>
      <x:c r="E16" s="27" t="n">
        <x:f>SUM(E6:E14)</x:f>
        <x:v>727689</x:v>
      </x:c>
      <x:c r="F16" s="27" t="n">
        <x:f>SUM(F6:F14)</x:f>
        <x:v>522943.7099999999</x:v>
      </x:c>
      <x:c r="G16" s="27" t="n">
        <x:f>SUM(G6:G14)</x:f>
        <x:v>-204745.2900000001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Scenario | Edit Blue Cells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Operating model input</x:v>
      </x:c>
      <x:c r="B4" s="7" t="str">
        <x:v>Value</x:v>
      </x:c>
      <x:c r="C4" s="7"/>
      <x:c r="D4" s="7"/>
      <x:c r="E4" s="7"/>
      <x:c r="F4" s="7"/>
      <x:c r="G4" s="7"/>
      <x:c r="H4" s="7"/>
    </x:row>
    <x:row r="5" ht="20" customHeight="1"/>
    <x:row r="6" ht="20" customHeight="1">
      <x:c r="A6" t="str">
        <x:v>Unit volume factor</x:v>
      </x:c>
      <x:c r="B6" s="34" t="n">
        <x:v>1</x:v>
      </x:c>
    </x:row>
    <x:row r="7" ht="20" customHeight="1">
      <x:c r="A7" t="str">
        <x:v>Unit price factor</x:v>
      </x:c>
      <x:c r="B7" s="34" t="n">
        <x:v>1</x:v>
      </x:c>
    </x:row>
    <x:row r="8" ht="20" customHeight="1">
      <x:c r="A8" t="str">
        <x:v>Variable unit cost factor</x:v>
      </x:c>
      <x:c r="B8" s="34" t="n">
        <x:v>1</x:v>
      </x:c>
    </x:row>
    <x:row r="9" ht="20" customHeight="1">
      <x:c r="A9" t="str">
        <x:v>Fixed opex factor</x:v>
      </x:c>
      <x:c r="B9" s="34" t="n">
        <x:v>1</x:v>
      </x:c>
    </x:row>
    <x:row r="10" ht="20" customHeight="1"/>
    <x:row r="11" ht="20" customHeight="1"/>
    <x:row r="12" ht="20" customHeight="1">
      <x:c r="A12" t="str">
        <x:v>Actual revenue</x:v>
      </x:c>
      <x:c r="B12" s="26" t="n">
        <x:f>SUM(Detail!L6:L32)</x:f>
        <x:v>7235861.759999998</x:v>
      </x:c>
    </x:row>
    <x:row r="13" ht="20" customHeight="1">
      <x:c r="A13" t="str">
        <x:v>Actual variable cost</x:v>
      </x:c>
      <x:c r="B13" s="26" t="n">
        <x:f>SUM(Detail!N6:N32)</x:f>
        <x:v>4138563.620000001</x:v>
      </x:c>
    </x:row>
    <x:row r="14" ht="20" customHeight="1">
      <x:c r="A14" t="str">
        <x:v>Actual fixed opex</x:v>
      </x:c>
      <x:c r="B14" s="26" t="n">
        <x:f>SUM(Detail!J6:J32)</x:f>
        <x:v>2574354.4299999997</x:v>
      </x:c>
    </x:row>
    <x:row r="15" ht="20" customHeight="1">
      <x:c r="A15" t="str">
        <x:v>Actual profit</x:v>
      </x:c>
      <x:c r="B15" s="26" t="n">
        <x:f>B12-B13-B14</x:f>
        <x:v>522943.70999999717</x:v>
      </x:c>
    </x:row>
    <x:row r="16" ht="20" customHeight="1">
      <x:c r="B16" s="26"/>
    </x:row>
    <x:row r="17" ht="20" customHeight="1">
      <x:c r="B17" s="26"/>
    </x:row>
    <x:row r="18" ht="20" customHeight="1">
      <x:c r="A18" t="str">
        <x:v>Scenario revenue</x:v>
      </x:c>
      <x:c r="B18" s="26" t="n">
        <x:f>B12*B6*B7</x:f>
        <x:v>7235861.759999998</x:v>
      </x:c>
    </x:row>
    <x:row r="19" ht="20" customHeight="1">
      <x:c r="A19" t="str">
        <x:v>Scenario variable cost</x:v>
      </x:c>
      <x:c r="B19" s="26" t="n">
        <x:f>B13*B6*B8</x:f>
        <x:v>4138563.620000001</x:v>
      </x:c>
    </x:row>
    <x:row r="20" ht="20" customHeight="1">
      <x:c r="A20" t="str">
        <x:v>Scenario fixed opex</x:v>
      </x:c>
      <x:c r="B20" s="26" t="n">
        <x:f>B14*B9</x:f>
        <x:v>2574354.4299999997</x:v>
      </x:c>
    </x:row>
    <x:row r="21" ht="20" customHeight="1">
      <x:c r="A21" s="22" t="str">
        <x:v>Scenario operating profit</x:v>
      </x:c>
      <x:c r="B21" s="36" t="n">
        <x:f>B18-B19-B20</x:f>
        <x:v>522943.70999999717</x:v>
      </x:c>
    </x:row>
    <x:row r="22" ht="20" customHeight="1">
      <x:c r="A22" s="22" t="str">
        <x:v>Scenario profit vs Actual</x:v>
      </x:c>
      <x:c r="B22" s="36" t="n">
        <x:f>B21-B15</x:f>
        <x:v>0</x:v>
      </x:c>
    </x:row>
    <x:row r="23" ht="20" customHeight="1"/>
    <x:row r="24" ht="20" customHeight="1"/>
    <x:row r="25" ht="20" customHeight="1"/>
    <x:row r="26" ht="20" customHeight="1">
      <x:c r="A26" s="10" t="str">
        <x:v>Scenario factors are illustrative; change in margin is not forecast guidance.</x:v>
      </x:c>
      <x:c r="B26" s="10"/>
      <x:c r="C26" s="10"/>
      <x:c r="D26" s="10"/>
      <x:c r="E26" s="10"/>
      <x:c r="F26" s="10"/>
      <x:c r="G26" s="10"/>
      <x:c r="H26" s="10"/>
    </x:row>
    <x:row r="27" ht="20" customHeight="1">
      <x:c r="A27" s="10"/>
      <x:c r="B27" s="10"/>
      <x:c r="C27" s="10"/>
      <x:c r="D27" s="10"/>
      <x:c r="E27" s="10"/>
      <x:c r="F27" s="10"/>
      <x:c r="G27" s="10"/>
      <x:c r="H27" s="10"/>
    </x:row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</x:sheetData>
  <x:mergeCells>
    <x:mergeCell ref="A1:H2"/>
    <x:mergeCell ref="A26:H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FP&amp;A Executive Summary | Jan-Sep 2026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ALL DATA SYNTHETIC | USD</x:v>
      </x:c>
      <x:c r="B4" s="7"/>
      <x:c r="C4" s="7"/>
      <x:c r="D4" s="7"/>
      <x:c r="E4" s="7"/>
      <x:c r="F4" s="7"/>
      <x:c r="G4" s="7"/>
      <x:c r="H4" s="7"/>
    </x:row>
    <x:row r="5" ht="20" customHeight="1"/>
    <x:row r="6" ht="20" customHeight="1"/>
    <x:row r="7" ht="20" customHeight="1">
      <x:c r="A7" t="str">
        <x:v>Budget revenue</x:v>
      </x:c>
      <x:c r="B7" s="26" t="n">
        <x:f>'Monthly Summary'!B16</x:f>
        <x:v>7283614</x:v>
      </x:c>
    </x:row>
    <x:row r="8" ht="20" customHeight="1">
      <x:c r="A8" t="str">
        <x:v>Actual revenue</x:v>
      </x:c>
      <x:c r="B8" s="26" t="n">
        <x:f>'Monthly Summary'!C16</x:f>
        <x:v>7235861.76</x:v>
      </x:c>
    </x:row>
    <x:row r="9" ht="20" customHeight="1">
      <x:c r="A9" s="22" t="str">
        <x:v>Revenue variance</x:v>
      </x:c>
      <x:c r="B9" s="36" t="n">
        <x:f>'Monthly Summary'!D16</x:f>
        <x:v>-47752.24000000011</x:v>
      </x:c>
    </x:row>
    <x:row r="10" ht="20" customHeight="1">
      <x:c r="B10" s="26"/>
    </x:row>
    <x:row r="11" ht="20" customHeight="1">
      <x:c r="A11" t="str">
        <x:v>Budget operating profit</x:v>
      </x:c>
      <x:c r="B11" s="26" t="n">
        <x:f>'Monthly Summary'!E16</x:f>
        <x:v>727689</x:v>
      </x:c>
    </x:row>
    <x:row r="12" ht="20" customHeight="1">
      <x:c r="A12" t="str">
        <x:v>Actual operating profit</x:v>
      </x:c>
      <x:c r="B12" s="26" t="n">
        <x:f>'Monthly Summary'!F16</x:f>
        <x:v>522943.7099999999</x:v>
      </x:c>
    </x:row>
    <x:row r="13" ht="20" customHeight="1">
      <x:c r="A13" s="22" t="str">
        <x:v>Operating-profit variance</x:v>
      </x:c>
      <x:c r="B13" s="36" t="n">
        <x:f>'Monthly Summary'!G16</x:f>
        <x:v>-204745.2900000001</x:v>
      </x:c>
    </x:row>
    <x:row r="14" ht="20" customHeight="1"/>
    <x:row r="15" ht="20" customHeight="1"/>
    <x:row r="16" ht="20" customHeight="1">
      <x:c r="A16" t="str">
        <x:v>Revenue variance %</x:v>
      </x:c>
      <x:c r="B16" s="38" t="n">
        <x:f>B9/B7</x:f>
        <x:v>-0.006556118981593493</x:v>
      </x:c>
    </x:row>
    <x:row r="17" ht="20" customHeight="1">
      <x:c r="A17" t="str">
        <x:v>Profit variance %</x:v>
      </x:c>
      <x:c r="B17" s="38" t="n">
        <x:f>B13/ABS(B11)</x:f>
        <x:v>-0.28136372818607963</x:v>
      </x:c>
    </x:row>
    <x:row r="18" ht="20" customHeight="1"/>
    <x:row r="19" ht="20" customHeight="1"/>
    <x:row r="20" ht="20" customHeight="1"/>
    <x:row r="21" ht="20" customHeight="1">
      <x:c r="A21" t="str">
        <x:v>Key drivers &amp; management suggestions</x:v>
      </x:c>
    </x:row>
    <x:row r="22" ht="20" customHeight="1">
      <x:c r="A22" s="10" t="str">
        <x:v>Review price/mix and cost increases; prioritize expense discipline.</x:v>
      </x:c>
      <x:c r="B22" s="10"/>
      <x:c r="C22" s="10"/>
      <x:c r="D22" s="10"/>
      <x:c r="E22" s="10"/>
      <x:c r="F22" s="10"/>
      <x:c r="G22" s="10"/>
      <x:c r="H22" s="10"/>
    </x:row>
    <x:row r="23" ht="20" customHeight="1">
      <x:c r="A23" s="10" t="str">
        <x:v>Do not use this synthetic scenario to infer any real company operating results.</x:v>
      </x:c>
      <x:c r="B23" s="10"/>
      <x:c r="C23" s="10"/>
      <x:c r="D23" s="10"/>
      <x:c r="E23" s="10"/>
      <x:c r="F23" s="10"/>
      <x:c r="G23" s="10"/>
      <x:c r="H23" s="10"/>
    </x:row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</x:sheetData>
  <x:mergeCells>
    <x:mergeCell ref="A1:H2"/>
    <x:mergeCell ref="A22:H22"/>
    <x:mergeCell ref="A23:H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4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Q4 2026 Run-Rate Forecast | Synthetic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 ht="26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</x:row>
    <x:row r="5" ht="20" customHeight="1">
      <x:c r="K5" s="7" t="str">
        <x:v>Forecast driver</x:v>
      </x:c>
      <x:c r="L5" s="7"/>
    </x:row>
    <x:row r="6" ht="20" customHeight="1">
      <x:c r="K6" t="str">
        <x:v>Monthly unit growth</x:v>
      </x:c>
      <x:c r="L6" s="40" t="n">
        <x:v>0.01</x:v>
      </x:c>
    </x:row>
    <x:row r="7" ht="20" customHeight="1">
      <x:c r="K7" t="str">
        <x:v>Monthly price growth</x:v>
      </x:c>
      <x:c r="L7" s="40" t="n">
        <x:v>0</x:v>
      </x:c>
    </x:row>
    <x:row r="8" ht="20" customHeight="1">
      <x:c r="K8" t="str">
        <x:v>Monthly variable cost inflation</x:v>
      </x:c>
      <x:c r="L8" s="40" t="n">
        <x:v>0.005</x:v>
      </x:c>
    </x:row>
    <x:row r="9" ht="20" customHeight="1">
      <x:c r="K9" t="str">
        <x:v>Monthly fixed cost inflation</x:v>
      </x:c>
      <x:c r="L9" s="40" t="n">
        <x:v>0.003</x:v>
      </x:c>
    </x:row>
    <x:row r="10" ht="20" customHeight="1"/>
    <x:row r="11" ht="20" customHeight="1"/>
    <x:row r="12" ht="20" customHeight="1"/>
    <x:row r="13" ht="32" customHeight="1">
      <x:c r="A13" s="12" t="str">
        <x:v>Month</x:v>
      </x:c>
      <x:c r="B13" s="12" t="str">
        <x:v>Product</x:v>
      </x:c>
      <x:c r="C13" s="12" t="str">
        <x:v>Forecast units</x:v>
      </x:c>
      <x:c r="D13" s="12" t="str">
        <x:v>Forecast price</x:v>
      </x:c>
      <x:c r="E13" s="12" t="str">
        <x:v>Forecast var cost/u</x:v>
      </x:c>
      <x:c r="F13" s="12" t="str">
        <x:v>Forecast fixed opex</x:v>
      </x:c>
      <x:c r="G13" s="12" t="str">
        <x:v>Forecast revenue</x:v>
      </x:c>
      <x:c r="H13" s="12" t="str">
        <x:v>Forecast var cost</x:v>
      </x:c>
      <x:c r="I13" s="12" t="str">
        <x:v>Forecast profit</x:v>
      </x:c>
    </x:row>
    <x:row r="14" ht="20" customHeight="1">
      <x:c r="A14" t="str">
        <x:v>2026-10</x:v>
      </x:c>
      <x:c r="B14" t="str">
        <x:v>Core</x:v>
      </x:c>
      <x:c r="C14" s="17" t="n">
        <x:f>ROUND(Detail!D30*(1+$L$6)^1,0)</x:f>
        <x:v>7430</x:v>
      </x:c>
      <x:c r="D14" s="17" t="n">
        <x:f>Detail!F30*(1+$L$7)^1</x:f>
        <x:v>54.85</x:v>
      </x:c>
      <x:c r="E14" s="17" t="n">
        <x:f>Detail!H30*(1+$L$8)^1</x:f>
        <x:v>32.451449999999994</x:v>
      </x:c>
      <x:c r="F14" s="17" t="n">
        <x:f>Detail!J30*(1+$L$9)^1</x:f>
        <x:v>115990.45056</x:v>
      </x:c>
      <x:c r="G14" s="17" t="n">
        <x:f>C14*D14</x:f>
        <x:v>407535.5</x:v>
      </x:c>
      <x:c r="H14" s="17" t="n">
        <x:f>C14*E14</x:f>
        <x:v>241114.27349999995</x:v>
      </x:c>
      <x:c r="I14" s="17" t="n">
        <x:f>G14-H14-F14</x:f>
        <x:v>50430.77594000005</x:v>
      </x:c>
    </x:row>
    <x:row r="15" ht="20" customHeight="1">
      <x:c r="A15" t="str">
        <x:v>2026-10</x:v>
      </x:c>
      <x:c r="B15" t="str">
        <x:v>Premium</x:v>
      </x:c>
      <x:c r="C15" s="17" t="n">
        <x:f>ROUND(Detail!D31*(1+$L$6)^1,0)</x:f>
        <x:v>2391</x:v>
      </x:c>
      <x:c r="D15" s="17" t="n">
        <x:f>Detail!F31*(1+$L$7)^1</x:f>
        <x:v>115.51</x:v>
      </x:c>
      <x:c r="E15" s="17" t="n">
        <x:f>Detail!H31*(1+$L$8)^1</x:f>
        <x:v>70.5309</x:v>
      </x:c>
      <x:c r="F15" s="17" t="n">
        <x:f>Detail!J31*(1+$L$9)^1</x:f>
        <x:v>97270.49867999999</x:v>
      </x:c>
      <x:c r="G15" s="17" t="n">
        <x:f>C15*D15</x:f>
        <x:v>276184.41000000003</x:v>
      </x:c>
      <x:c r="H15" s="17" t="n">
        <x:f>C15*E15</x:f>
        <x:v>168639.3819</x:v>
      </x:c>
      <x:c r="I15" s="17" t="n">
        <x:f>G15-H15-F15</x:f>
        <x:v>10274.529420000035</x:v>
      </x:c>
    </x:row>
    <x:row r="16" ht="20" customHeight="1">
      <x:c r="A16" t="str">
        <x:v>2026-10</x:v>
      </x:c>
      <x:c r="B16" t="str">
        <x:v>Accessories</x:v>
      </x:c>
      <x:c r="C16" s="17" t="n">
        <x:f>ROUND(Detail!D32*(1+$L$6)^1,0)</x:f>
        <x:v>4463</x:v>
      </x:c>
      <x:c r="D16" s="17" t="n">
        <x:f>Detail!F32*(1+$L$7)^1</x:f>
        <x:v>25.61</x:v>
      </x:c>
      <x:c r="E16" s="17" t="n">
        <x:f>Detail!H32*(1+$L$8)^1</x:f>
        <x:v>10.9344</x:v>
      </x:c>
      <x:c r="F16" s="17" t="n">
        <x:f>Detail!J32*(1+$L$9)^1</x:f>
        <x:v>66238.52119999999</x:v>
      </x:c>
      <x:c r="G16" s="17" t="n">
        <x:f>C16*D16</x:f>
        <x:v>114297.43</x:v>
      </x:c>
      <x:c r="H16" s="17" t="n">
        <x:f>C16*E16</x:f>
        <x:v>48800.2272</x:v>
      </x:c>
      <x:c r="I16" s="17" t="n">
        <x:f>G16-H16-F16</x:f>
        <x:v>-741.3183999999965</x:v>
      </x:c>
    </x:row>
    <x:row r="17" ht="20" customHeight="1">
      <x:c r="A17" t="str">
        <x:v>2026-11</x:v>
      </x:c>
      <x:c r="B17" t="str">
        <x:v>Core</x:v>
      </x:c>
      <x:c r="C17" s="17" t="n">
        <x:f>ROUND(Detail!D30*(1+$L$6)^2,0)</x:f>
        <x:v>7504</x:v>
      </x:c>
      <x:c r="D17" s="17" t="n">
        <x:f>Detail!F30*(1+$L$7)^2</x:f>
        <x:v>54.85</x:v>
      </x:c>
      <x:c r="E17" s="17" t="n">
        <x:f>Detail!H30*(1+$L$8)^2</x:f>
        <x:v>32.61370724999999</x:v>
      </x:c>
      <x:c r="F17" s="17" t="n">
        <x:f>Detail!J30*(1+$L$9)^2</x:f>
        <x:v>116338.42191167996</x:v>
      </x:c>
      <x:c r="G17" s="17" t="n">
        <x:f>C17*D17</x:f>
        <x:v>411594.4</x:v>
      </x:c>
      <x:c r="H17" s="17" t="n">
        <x:f>C17*E17</x:f>
        <x:v>244733.2592039999</x:v>
      </x:c>
      <x:c r="I17" s="17" t="n">
        <x:f>G17-H17-F17</x:f>
        <x:v>50522.718884320144</x:v>
      </x:c>
    </x:row>
    <x:row r="18" ht="20" customHeight="1">
      <x:c r="A18" t="str">
        <x:v>2026-11</x:v>
      </x:c>
      <x:c r="B18" t="str">
        <x:v>Premium</x:v>
      </x:c>
      <x:c r="C18" s="17" t="n">
        <x:f>ROUND(Detail!D31*(1+$L$6)^2,0)</x:f>
        <x:v>2415</x:v>
      </x:c>
      <x:c r="D18" s="17" t="n">
        <x:f>Detail!F31*(1+$L$7)^2</x:f>
        <x:v>115.51</x:v>
      </x:c>
      <x:c r="E18" s="17" t="n">
        <x:f>Detail!H31*(1+$L$8)^2</x:f>
        <x:v>70.88355449999999</x:v>
      </x:c>
      <x:c r="F18" s="17" t="n">
        <x:f>Detail!J31*(1+$L$9)^2</x:f>
        <x:v>97562.31017603997</x:v>
      </x:c>
      <x:c r="G18" s="17" t="n">
        <x:f>C18*D18</x:f>
        <x:v>278956.65</x:v>
      </x:c>
      <x:c r="H18" s="17" t="n">
        <x:f>C18*E18</x:f>
        <x:v>171183.78411749998</x:v>
      </x:c>
      <x:c r="I18" s="17" t="n">
        <x:f>G18-H18-F18</x:f>
        <x:v>10210.555706460073</x:v>
      </x:c>
    </x:row>
    <x:row r="19" ht="20" customHeight="1">
      <x:c r="A19" t="str">
        <x:v>2026-11</x:v>
      </x:c>
      <x:c r="B19" t="str">
        <x:v>Accessories</x:v>
      </x:c>
      <x:c r="C19" s="17" t="n">
        <x:f>ROUND(Detail!D32*(1+$L$6)^2,0)</x:f>
        <x:v>4508</x:v>
      </x:c>
      <x:c r="D19" s="17" t="n">
        <x:f>Detail!F32*(1+$L$7)^2</x:f>
        <x:v>25.61</x:v>
      </x:c>
      <x:c r="E19" s="17" t="n">
        <x:f>Detail!H32*(1+$L$8)^2</x:f>
        <x:v>10.989071999999998</x:v>
      </x:c>
      <x:c r="F19" s="17" t="n">
        <x:f>Detail!J32*(1+$L$9)^2</x:f>
        <x:v>66437.23676359997</x:v>
      </x:c>
      <x:c r="G19" s="17" t="n">
        <x:f>C19*D19</x:f>
        <x:v>115449.88</x:v>
      </x:c>
      <x:c r="H19" s="17" t="n">
        <x:f>C19*E19</x:f>
        <x:v>49538.736575999996</x:v>
      </x:c>
      <x:c r="I19" s="17" t="n">
        <x:f>G19-H19-F19</x:f>
        <x:v>-526.09333959996</x:v>
      </x:c>
    </x:row>
    <x:row r="20" ht="20" customHeight="1">
      <x:c r="A20" t="str">
        <x:v>2026-12</x:v>
      </x:c>
      <x:c r="B20" t="str">
        <x:v>Core</x:v>
      </x:c>
      <x:c r="C20" s="17" t="n">
        <x:f>ROUND(Detail!D30*(1+$L$6)^3,0)</x:f>
        <x:v>7579</x:v>
      </x:c>
      <x:c r="D20" s="17" t="n">
        <x:f>Detail!F30*(1+$L$7)^3</x:f>
        <x:v>54.85</x:v>
      </x:c>
      <x:c r="E20" s="17" t="n">
        <x:f>Detail!H30*(1+$L$8)^3</x:f>
        <x:v>32.776775786249985</x:v>
      </x:c>
      <x:c r="F20" s="17" t="n">
        <x:f>Detail!J30*(1+$L$9)^3</x:f>
        <x:v>116687.437177415</x:v>
      </x:c>
      <x:c r="G20" s="17" t="n">
        <x:f>C20*D20</x:f>
        <x:v>415708.15</x:v>
      </x:c>
      <x:c r="H20" s="17" t="n">
        <x:f>C20*E20</x:f>
        <x:v>248415.18368398864</x:v>
      </x:c>
      <x:c r="I20" s="17" t="n">
        <x:f>G20-H20-F20</x:f>
        <x:v>50605.52913859638</x:v>
      </x:c>
    </x:row>
    <x:row r="21" ht="20" customHeight="1">
      <x:c r="A21" t="str">
        <x:v>2026-12</x:v>
      </x:c>
      <x:c r="B21" t="str">
        <x:v>Premium</x:v>
      </x:c>
      <x:c r="C21" s="17" t="n">
        <x:f>ROUND(Detail!D31*(1+$L$6)^3,0)</x:f>
        <x:v>2439</x:v>
      </x:c>
      <x:c r="D21" s="17" t="n">
        <x:f>Detail!F31*(1+$L$7)^3</x:f>
        <x:v>115.51</x:v>
      </x:c>
      <x:c r="E21" s="17" t="n">
        <x:f>Detail!H31*(1+$L$8)^3</x:f>
        <x:v>71.23797227249999</x:v>
      </x:c>
      <x:c r="F21" s="17" t="n">
        <x:f>Detail!J31*(1+$L$9)^3</x:f>
        <x:v>97854.99710656809</x:v>
      </x:c>
      <x:c r="G21" s="17" t="n">
        <x:f>C21*D21</x:f>
        <x:v>281728.89</x:v>
      </x:c>
      <x:c r="H21" s="17" t="n">
        <x:f>C21*E21</x:f>
        <x:v>173749.41437262748</x:v>
      </x:c>
      <x:c r="I21" s="17" t="n">
        <x:f>G21-H21-F21</x:f>
        <x:v>10124.478520804449</x:v>
      </x:c>
    </x:row>
    <x:row r="22" ht="20" customHeight="1">
      <x:c r="A22" t="str">
        <x:v>2026-12</x:v>
      </x:c>
      <x:c r="B22" t="str">
        <x:v>Accessories</x:v>
      </x:c>
      <x:c r="C22" s="17" t="n">
        <x:f>ROUND(Detail!D32*(1+$L$6)^3,0)</x:f>
        <x:v>4553</x:v>
      </x:c>
      <x:c r="D22" s="17" t="n">
        <x:f>Detail!F32*(1+$L$7)^3</x:f>
        <x:v>25.61</x:v>
      </x:c>
      <x:c r="E22" s="17" t="n">
        <x:f>Detail!H32*(1+$L$8)^3</x:f>
        <x:v>11.044017359999996</x:v>
      </x:c>
      <x:c r="F22" s="17" t="n">
        <x:f>Detail!J32*(1+$L$9)^3</x:f>
        <x:v>66636.54847389077</x:v>
      </x:c>
      <x:c r="G22" s="17" t="n">
        <x:f>C22*D22</x:f>
        <x:v>116602.33</x:v>
      </x:c>
      <x:c r="H22" s="17" t="n">
        <x:f>C22*E22</x:f>
        <x:v>50283.411040079984</x:v>
      </x:c>
      <x:c r="I22" s="17" t="n">
        <x:f>G22-H22-F22</x:f>
        <x:v>-317.62951397075085</x:v>
      </x:c>
    </x:row>
    <x:row r="23" ht="20" customHeight="1">
      <x:c r="C23" s="17"/>
      <x:c r="D23" s="17"/>
      <x:c r="E23" s="17"/>
      <x:c r="F23" s="17"/>
      <x:c r="G23" s="17"/>
      <x:c r="H23" s="17"/>
      <x:c r="I23" s="17"/>
    </x:row>
    <x:row r="24" ht="20" customHeight="1">
      <x:c r="A24" s="22" t="str">
        <x:v>Q4 TOTAL</x:v>
      </x:c>
      <x:c r="B24" s="22"/>
      <x:c r="C24" s="42"/>
      <x:c r="D24" s="42"/>
      <x:c r="E24" s="42"/>
      <x:c r="F24" s="42"/>
      <x:c r="G24" s="42" t="n">
        <x:f>SUM(G14:G22)</x:f>
        <x:v>2418057.64</x:v>
      </x:c>
      <x:c r="H24" s="42"/>
      <x:c r="I24" s="42" t="n">
        <x:f>SUM(I14:I22)</x:f>
        <x:v>180583.54635661043</x:v>
      </x:c>
    </x:row>
    <x:row r="25" ht="20" customHeight="1">
      <x:c r="C25" s="17"/>
      <x:c r="D25" s="17"/>
      <x:c r="E25" s="17"/>
      <x:c r="F25" s="17"/>
      <x:c r="G25" s="17"/>
      <x:c r="H25" s="17"/>
      <x:c r="I25" s="17"/>
    </x:row>
    <x:row r="26" ht="20" customHeight="1">
      <x:c r="A26" t="str">
        <x:v>Jan-Sep actual (synthetic)</x:v>
      </x:c>
      <x:c r="C26" s="17"/>
      <x:c r="D26" s="17"/>
      <x:c r="E26" s="17"/>
      <x:c r="F26" s="17"/>
      <x:c r="G26" s="17" t="n">
        <x:f>SUM(Detail!L6:L32)</x:f>
        <x:v>7235861.759999998</x:v>
      </x:c>
      <x:c r="H26" s="17"/>
      <x:c r="I26" s="17" t="n">
        <x:f>SUM(Detail!P6:P32)</x:f>
        <x:v>522943.70999999985</x:v>
      </x:c>
    </x:row>
    <x:row r="27" ht="20" customHeight="1">
      <x:c r="C27" s="17"/>
      <x:c r="D27" s="17"/>
      <x:c r="E27" s="17"/>
      <x:c r="F27" s="17"/>
      <x:c r="G27" s="17"/>
      <x:c r="H27" s="17"/>
      <x:c r="I27" s="17"/>
    </x:row>
    <x:row r="28" ht="20" customHeight="1">
      <x:c r="A28" s="23" t="str">
        <x:v>FY2026 illustrative outlook</x:v>
      </x:c>
      <x:c r="B28" s="23"/>
      <x:c r="C28" s="43"/>
      <x:c r="D28" s="43"/>
      <x:c r="E28" s="43"/>
      <x:c r="F28" s="43"/>
      <x:c r="G28" s="43" t="n">
        <x:f>SUM(G24,G26)</x:f>
        <x:v>9653919.399999999</x:v>
      </x:c>
      <x:c r="H28" s="43"/>
      <x:c r="I28" s="43" t="n">
        <x:f>SUM(I24,I26)</x:f>
        <x:v>703527.2563566102</x:v>
      </x:c>
    </x:row>
    <x:row r="29" ht="20" customHeight="1"/>
    <x:row r="30" ht="20" customHeight="1"/>
    <x:row r="31" ht="20" customHeight="1">
      <x:c r="A31" s="10" t="str">
        <x:v>Q4 based on September product run rates; assumptions are entirely invented for this learning case.</x:v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0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 ht="20" customHeight="1"/>
    <x:row r="34" ht="20" customHeight="1"/>
    <x:row r="35" ht="20" customHeight="1"/>
  </x:sheetData>
  <x:mergeCells>
    <x:mergeCell ref="A1:M2"/>
    <x:mergeCell ref="A31:M32"/>
  </x:mergeCells>
  <x:pageMargins left="0.7" right="0.7" top="0.75" bottom="0.75" header="0.3" footer="0.3"/>
</x:worksheet>
</file>