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b46401330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252a59f695e4d10"/>
    <x:sheet xmlns:r="http://schemas.openxmlformats.org/officeDocument/2006/relationships" name="Historical" sheetId="2" r:id="Rc616e3af5053496c"/>
    <x:sheet xmlns:r="http://schemas.openxmlformats.org/officeDocument/2006/relationships" name="Assumptions" sheetId="3" r:id="Raf911015a0d14fbc"/>
    <x:sheet xmlns:r="http://schemas.openxmlformats.org/officeDocument/2006/relationships" name="DCF" sheetId="4" r:id="Rcc7ad4b9a34b4cf4"/>
    <x:sheet xmlns:r="http://schemas.openxmlformats.org/officeDocument/2006/relationships" name="Sensitivity" sheetId="5" r:id="Rabb69c99bacc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;[Red](0.0%);-"/>
  </x:numFmts>
  <x:fonts count="5">
    <x:font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0D7F8B"/>
      </x:patternFill>
    </x:fill>
    <x:fill>
      <x:patternFill patternType="solid">
        <x:fgColor rgb="FFFFF1BA"/>
      </x:patternFill>
    </x:fill>
    <x:fill>
      <x:patternFill patternType="solid">
        <x:fgColor rgb="FFE6F3F5"/>
      </x:patternFill>
    </x:fill>
    <x:fill>
      <x:patternFill patternType="solid">
        <x:fgColor rgb="FFFFFFFF"/>
      </x:patternFill>
    </x:fill>
    <x:fill>
      <x:patternFill patternType="solid">
        <x:fgColor rgb="FFFFF1BA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4" borderId="0" xfId="0" applyNumberFormat="1" applyFont="1" applyFill="1" applyBorder="1"/>
    <x:xf numFmtId="201" fontId="3" fillId="4" borderId="0" xfId="0" applyNumberFormat="1" applyFont="1" applyFill="1" applyBorder="1"/>
    <x:xf numFmtId="201" fontId="0" fillId="4" borderId="1" xfId="0" applyNumberFormat="1" applyFont="1" applyFill="1" applyBorder="1"/>
    <x:xf numFmtId="201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68dec284f41a5" /><Relationship Type="http://schemas.openxmlformats.org/officeDocument/2006/relationships/theme" Target="/xl/theme/theme1.xml" Id="R298ace86d3834b54" /><Relationship Type="http://schemas.openxmlformats.org/officeDocument/2006/relationships/sharedStrings" Target="/xl/sharedStrings.xml" Id="R3d7447ab3faa4bd8" /><Relationship Type="http://schemas.openxmlformats.org/officeDocument/2006/relationships/worksheet" Target="/xl/worksheets/sheet1.xml" Id="Rc252a59f695e4d10" /><Relationship Type="http://schemas.openxmlformats.org/officeDocument/2006/relationships/worksheet" Target="/xl/worksheets/sheet2.xml" Id="Rc616e3af5053496c" /><Relationship Type="http://schemas.openxmlformats.org/officeDocument/2006/relationships/worksheet" Target="/xl/worksheets/sheet3.xml" Id="Raf911015a0d14fbc" /><Relationship Type="http://schemas.openxmlformats.org/officeDocument/2006/relationships/worksheet" Target="/xl/worksheets/sheet4.xml" Id="Rcc7ad4b9a34b4cf4" /><Relationship Type="http://schemas.openxmlformats.org/officeDocument/2006/relationships/worksheet" Target="/xl/worksheets/sheet5.xml" Id="Rabb69c99bacc4fd5" /></Relationships>
</file>

<file path=xl/theme/theme1.xml><?xml version="1.0" encoding="utf-8"?>
<a:theme xmlns:a="http://schemas.openxmlformats.org/drawingml/2006/main" name="Finance Portfolio">
  <a:themeElements>
    <a:clrScheme name="Finance Portfoli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Finance Portfoli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5" customHeight="1">
      <x:c r="A1" s="3" t="str">
        <x:v>Walmart | Fundamental Analysis &amp; DCF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7" t="str">
        <x:v>UNDERGRADUATE EDUCATIONAL CASE  |  NOT AN INVESTMENT RECOMMENDATION</x:v>
      </x:c>
      <x:c r="B4" s="7"/>
      <x:c r="C4" s="7"/>
      <x:c r="D4" s="7"/>
      <x:c r="E4" s="7"/>
      <x:c r="F4" s="7"/>
      <x:c r="G4" s="7"/>
      <x:c r="H4" s="7"/>
    </x:row>
    <x:row r="5" ht="20" customHeight="1"/>
    <x:row r="6" ht="20" customHeight="1">
      <x:c r="A6" t="str">
        <x:v>Source</x:v>
      </x:c>
      <x:c r="B6" s="10" t="str">
        <x:v>Walmart FY2026 Form 10-K, reported FY2024 to FY2026</x:v>
      </x:c>
      <x:c r="C6" s="10"/>
      <x:c r="D6" s="10"/>
      <x:c r="E6" s="10"/>
      <x:c r="F6" s="10"/>
      <x:c r="G6" s="10"/>
      <x:c r="H6" s="10"/>
    </x:row>
    <x:row r="7" ht="20" customHeight="1">
      <x:c r="A7" t="str">
        <x:v>Source URL</x:v>
      </x:c>
      <x:c r="B7" s="10" t="str">
        <x:v>https://www.sec.gov/Archives/edgar/data/104169/000010416926000055/wmt-20260131.htm</x:v>
      </x:c>
      <x:c r="C7" s="10"/>
      <x:c r="D7" s="10"/>
      <x:c r="E7" s="10"/>
      <x:c r="F7" s="10"/>
      <x:c r="G7" s="10"/>
      <x:c r="H7" s="10"/>
    </x:row>
    <x:row r="8" ht="20" customHeight="1">
      <x:c r="A8" t="str">
        <x:v>Units</x:v>
      </x:c>
      <x:c r="B8" s="10" t="str">
        <x:v>USD millions; fiscal years end January 31</x:v>
      </x:c>
      <x:c r="C8" s="10"/>
      <x:c r="D8" s="10"/>
      <x:c r="E8" s="10"/>
      <x:c r="F8" s="10"/>
      <x:c r="G8" s="10"/>
      <x:c r="H8" s="10"/>
    </x:row>
    <x:row r="9" ht="20" customHeight="1">
      <x:c r="B9" s="10"/>
      <x:c r="C9" s="10"/>
      <x:c r="D9" s="10"/>
      <x:c r="E9" s="10"/>
      <x:c r="F9" s="10"/>
      <x:c r="G9" s="10"/>
      <x:c r="H9" s="10"/>
    </x:row>
    <x:row r="10" ht="20" customHeight="1">
      <x:c r="A10" t="str">
        <x:v>Workflow</x:v>
      </x:c>
      <x:c r="B10" s="10" t="str">
        <x:v>1 Historical  |  2 Assumptions  |  3 DCF  |  4 Sensitivity</x:v>
      </x:c>
      <x:c r="C10" s="10"/>
      <x:c r="D10" s="10"/>
      <x:c r="E10" s="10"/>
      <x:c r="F10" s="10"/>
      <x:c r="G10" s="10"/>
      <x:c r="H10" s="10"/>
    </x:row>
    <x:row r="11" ht="20" customHeight="1">
      <x:c r="B11" s="10"/>
      <x:c r="C11" s="10"/>
      <x:c r="D11" s="10"/>
      <x:c r="E11" s="10"/>
      <x:c r="F11" s="10"/>
      <x:c r="G11" s="10"/>
      <x:c r="H11" s="10"/>
    </x:row>
    <x:row r="12" ht="20" customHeight="1">
      <x:c r="A12" t="str">
        <x:v>BLUE text</x:v>
      </x:c>
      <x:c r="B12" s="10" t="str">
        <x:v>Raw historical inputs / editable assumptions</x:v>
      </x:c>
      <x:c r="C12" s="10"/>
      <x:c r="D12" s="10"/>
      <x:c r="E12" s="10"/>
      <x:c r="F12" s="10"/>
      <x:c r="G12" s="10"/>
      <x:c r="H12" s="10"/>
    </x:row>
    <x:row r="13" ht="20" customHeight="1">
      <x:c r="A13" t="str">
        <x:v>GREEN text</x:v>
      </x:c>
      <x:c r="B13" s="10" t="str">
        <x:v>Cross-sheet links</x:v>
      </x:c>
      <x:c r="C13" s="10"/>
      <x:c r="D13" s="10"/>
      <x:c r="E13" s="10"/>
      <x:c r="F13" s="10"/>
      <x:c r="G13" s="10"/>
      <x:c r="H13" s="10"/>
    </x:row>
    <x:row r="14" ht="20" customHeight="1">
      <x:c r="A14" t="str">
        <x:v>BLACK text</x:v>
      </x:c>
      <x:c r="B14" s="10" t="str">
        <x:v>Same-sheet calculations</x:v>
      </x:c>
      <x:c r="C14" s="10"/>
      <x:c r="D14" s="10"/>
      <x:c r="E14" s="10"/>
      <x:c r="F14" s="10"/>
      <x:c r="G14" s="10"/>
      <x:c r="H14" s="10"/>
    </x:row>
    <x:row r="15" ht="20" customHeight="1">
      <x:c r="B15" s="10"/>
      <x:c r="C15" s="10"/>
      <x:c r="D15" s="10"/>
      <x:c r="E15" s="10"/>
      <x:c r="F15" s="10"/>
      <x:c r="G15" s="10"/>
      <x:c r="H15" s="10"/>
    </x:row>
    <x:row r="16" ht="20" customHeight="1">
      <x:c r="A16" s="12" t="str">
        <x:v>WARNING</x:v>
      </x:c>
      <x:c r="B16" s="13" t="str">
        <x:v>DCF is a simplified example of unlevered cash flows, not a share-price target.</x:v>
      </x:c>
      <x:c r="C16" s="13"/>
      <x:c r="D16" s="13"/>
      <x:c r="E16" s="13"/>
      <x:c r="F16" s="13"/>
      <x:c r="G16" s="13"/>
      <x:c r="H16" s="13"/>
    </x:row>
    <x:row r="17" ht="20" customHeight="1">
      <x:c r="A17" s="12" t="str">
        <x:v>WARNING</x:v>
      </x:c>
      <x:c r="B17" s="13" t="str">
        <x:v>Historical free cash flow (CFO minus capex) differs from forecast FCFF.</x:v>
      </x:c>
      <x:c r="C17" s="13"/>
      <x:c r="D17" s="13"/>
      <x:c r="E17" s="13"/>
      <x:c r="F17" s="13"/>
      <x:c r="G17" s="13"/>
      <x:c r="H17" s="13"/>
    </x:row>
    <x:row r="18" ht="20" customHeight="1">
      <x:c r="A18" s="12" t="str">
        <x:v>WARNING</x:v>
      </x:c>
      <x:c r="B18" s="13" t="str">
        <x:v>Forecast growth, margins, tax, capex, WACC, terminal growth are hypotheses.</x:v>
      </x:c>
      <x:c r="C18" s="13"/>
      <x:c r="D18" s="13"/>
      <x:c r="E18" s="13"/>
      <x:c r="F18" s="13"/>
      <x:c r="G18" s="13"/>
      <x:c r="H18" s="13"/>
    </x:row>
    <x:row r="19" ht="20" customHeight="1">
      <x:c r="A19" t="str">
        <x:v>As-of</x:v>
      </x:c>
      <x:c r="B19" s="10" t="str">
        <x:v>October 19, 2026; FY2026 is last full-year data in this case.</x:v>
      </x:c>
      <x:c r="C19" s="10"/>
      <x:c r="D19" s="10"/>
      <x:c r="E19" s="10"/>
      <x:c r="F19" s="10"/>
      <x:c r="G19" s="10"/>
      <x:c r="H19" s="10"/>
    </x:row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</x:sheetData>
  <x:mergeCells>
    <x:mergeCell ref="A1:H2"/>
    <x:mergeCell ref="B6:H6"/>
    <x:mergeCell ref="B7:H8"/>
    <x:mergeCell ref="B10:H10"/>
    <x:mergeCell ref="B12:H12"/>
    <x:mergeCell ref="B13:H13"/>
    <x:mergeCell ref="B14:H14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3" t="str">
        <x:v>Reported Financials | USD millions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7" t="str">
        <x:v>Financial metric</x:v>
      </x:c>
      <x:c r="B4" s="7" t="str">
        <x:v>FY2024</x:v>
      </x:c>
      <x:c r="C4" s="7" t="str">
        <x:v>FY2025</x:v>
      </x:c>
      <x:c r="D4" s="7" t="str">
        <x:v>FY2026</x:v>
      </x:c>
      <x:c r="E4" s="7"/>
      <x:c r="F4" s="7"/>
      <x:c r="G4" s="7"/>
      <x:c r="H4" s="7"/>
    </x:row>
    <x:row r="5" ht="20" customHeight="1"/>
    <x:row r="6" ht="20" customHeight="1"/>
    <x:row r="7" ht="20" customHeight="1">
      <x:c r="A7" t="str">
        <x:v>Total revenues</x:v>
      </x:c>
      <x:c r="B7" s="20" t="n">
        <x:v>648125</x:v>
      </x:c>
      <x:c r="C7" s="20" t="n">
        <x:v>680985</x:v>
      </x:c>
      <x:c r="D7" s="20" t="n">
        <x:v>713163</x:v>
      </x:c>
    </x:row>
    <x:row r="8" ht="20" customHeight="1">
      <x:c r="A8" t="str">
        <x:v>Net sales</x:v>
      </x:c>
      <x:c r="B8" s="20" t="n">
        <x:v>642637</x:v>
      </x:c>
      <x:c r="C8" s="20" t="n">
        <x:v>674538</x:v>
      </x:c>
      <x:c r="D8" s="20" t="n">
        <x:v>706413</x:v>
      </x:c>
    </x:row>
    <x:row r="9" ht="20" customHeight="1">
      <x:c r="A9" t="str">
        <x:v>Membership and other income</x:v>
      </x:c>
      <x:c r="B9" s="20" t="n">
        <x:v>5488</x:v>
      </x:c>
      <x:c r="C9" s="20" t="n">
        <x:v>6447</x:v>
      </x:c>
      <x:c r="D9" s="20" t="n">
        <x:v>6750</x:v>
      </x:c>
    </x:row>
    <x:row r="10" ht="20" customHeight="1">
      <x:c r="A10" t="str">
        <x:v>Cost of sales</x:v>
      </x:c>
      <x:c r="B10" s="20" t="n">
        <x:v>490142</x:v>
      </x:c>
      <x:c r="C10" s="20" t="n">
        <x:v>511753</x:v>
      </x:c>
      <x:c r="D10" s="20" t="n">
        <x:v>535395</x:v>
      </x:c>
    </x:row>
    <x:row r="11" ht="20" customHeight="1">
      <x:c r="A11" t="str">
        <x:v>SG&amp;A</x:v>
      </x:c>
      <x:c r="B11" s="20" t="n">
        <x:v>130971</x:v>
      </x:c>
      <x:c r="C11" s="20" t="n">
        <x:v>139884</x:v>
      </x:c>
      <x:c r="D11" s="20" t="n">
        <x:v>147943</x:v>
      </x:c>
    </x:row>
    <x:row r="12" ht="20" customHeight="1">
      <x:c r="A12" s="22" t="str">
        <x:v>Operating income [formula]</x:v>
      </x:c>
      <x:c r="B12" s="23" t="n">
        <x:f>B7-B10-B11</x:f>
        <x:v>27012</x:v>
      </x:c>
      <x:c r="C12" s="23" t="n">
        <x:f>C7-C10-C11</x:f>
        <x:v>29348</x:v>
      </x:c>
      <x:c r="D12" s="23" t="n">
        <x:f>D7-D10-D11</x:f>
        <x:v>29825</x:v>
      </x:c>
    </x:row>
    <x:row r="13" ht="20" customHeight="1">
      <x:c r="A13" t="str">
        <x:v>Operating margin</x:v>
      </x:c>
      <x:c r="B13" s="18" t="n">
        <x:f>B12/B7</x:f>
        <x:v>0.0416771456123433</x:v>
      </x:c>
      <x:c r="C13" s="18" t="n">
        <x:f>C12/C7</x:f>
        <x:v>0.04309639713062696</x:v>
      </x:c>
      <x:c r="D13" s="18" t="n">
        <x:f>D12/D7</x:f>
        <x:v>0.041820733829433104</x:v>
      </x:c>
    </x:row>
    <x:row r="14" ht="20" customHeight="1">
      <x:c r="A14" t="str">
        <x:v>YoY revenue growth</x:v>
      </x:c>
      <x:c r="B14" s="18"/>
      <x:c r="C14" s="18" t="n">
        <x:f>C7/B7-1</x:f>
        <x:v>0.05070009643201545</x:v>
      </x:c>
      <x:c r="D14" s="18" t="n">
        <x:f>D7/C7-1</x:f>
        <x:v>0.047252142117667706</x:v>
      </x:c>
    </x:row>
    <x:row r="15" ht="20" customHeight="1">
      <x:c r="A15" t="str">
        <x:v>Consolidated net income</x:v>
      </x:c>
      <x:c r="B15" s="20" t="n">
        <x:v>16270</x:v>
      </x:c>
      <x:c r="C15" s="20" t="n">
        <x:v>20157</x:v>
      </x:c>
      <x:c r="D15" s="20" t="n">
        <x:v>22270</x:v>
      </x:c>
    </x:row>
    <x:row r="16" ht="20" customHeight="1">
      <x:c r="A16" t="str">
        <x:v>Cash from operations</x:v>
      </x:c>
      <x:c r="B16" s="20" t="n">
        <x:v>35726</x:v>
      </x:c>
      <x:c r="C16" s="20" t="n">
        <x:v>36443</x:v>
      </x:c>
      <x:c r="D16" s="20" t="n">
        <x:v>41565</x:v>
      </x:c>
    </x:row>
    <x:row r="17" ht="20" customHeight="1">
      <x:c r="A17" t="str">
        <x:v>Capital expenditure (positive)</x:v>
      </x:c>
      <x:c r="B17" s="20" t="n">
        <x:v>20606</x:v>
      </x:c>
      <x:c r="C17" s="20" t="n">
        <x:v>23783</x:v>
      </x:c>
      <x:c r="D17" s="20" t="n">
        <x:v>26642</x:v>
      </x:c>
    </x:row>
    <x:row r="18" ht="20" customHeight="1">
      <x:c r="A18" s="22" t="str">
        <x:v>Reported FCF = CFO - capex</x:v>
      </x:c>
      <x:c r="B18" s="23" t="n">
        <x:f>B16-B17</x:f>
        <x:v>15120</x:v>
      </x:c>
      <x:c r="C18" s="23" t="n">
        <x:f>C16-C17</x:f>
        <x:v>12660</x:v>
      </x:c>
      <x:c r="D18" s="23" t="n">
        <x:f>D16-D17</x:f>
        <x:v>14923</x:v>
      </x:c>
    </x:row>
    <x:row r="19" ht="20" customHeight="1">
      <x:c r="A19" t="str">
        <x:v>Depreciation &amp; amortization</x:v>
      </x:c>
      <x:c r="B19" s="20" t="n">
        <x:v>11853</x:v>
      </x:c>
      <x:c r="C19" s="20" t="n">
        <x:v>12973</x:v>
      </x:c>
      <x:c r="D19" s="20" t="n">
        <x:v>14203</x:v>
      </x:c>
    </x:row>
    <x:row r="20" ht="20" customHeight="1"/>
    <x:row r="21" ht="20" customHeight="1">
      <x:c r="A21" t="str">
        <x:v>10-K filing</x:v>
      </x:c>
      <x:c r="B21" t="str">
        <x:v>https://www.sec.gov/Archives/edgar/data/104169/000010416926000055/wmt-20260131.htm</x:v>
      </x:c>
    </x:row>
    <x:row r="22" ht="20" customHeight="1"/>
    <x:row r="23" ht="20" customHeight="1"/>
    <x:row r="24" ht="20" customHeight="1"/>
    <x:row r="25" ht="20" customHeight="1"/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3" t="str">
        <x:v>Editable Forecast Assumptions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7" t="str">
        <x:v>Assumption</x:v>
      </x:c>
      <x:c r="B4" s="7" t="str">
        <x:v>Value</x:v>
      </x:c>
      <x:c r="C4" s="7"/>
      <x:c r="D4" s="7"/>
      <x:c r="E4" s="7"/>
      <x:c r="F4" s="7"/>
      <x:c r="G4" s="7"/>
      <x:c r="H4" s="7"/>
    </x:row>
    <x:row r="5" ht="20" customHeight="1"/>
    <x:row r="6" ht="20" customHeight="1">
      <x:c r="A6" t="str">
        <x:v>Weighted avg cost of capital</x:v>
      </x:c>
      <x:c r="B6" s="27" t="n">
        <x:v>0.075</x:v>
      </x:c>
    </x:row>
    <x:row r="7" ht="20" customHeight="1">
      <x:c r="A7" t="str">
        <x:v>Terminal perpetual growth</x:v>
      </x:c>
      <x:c r="B7" s="27" t="n">
        <x:v>0.025</x:v>
      </x:c>
    </x:row>
    <x:row r="8" ht="20" customHeight="1">
      <x:c r="A8" t="str">
        <x:v>Cash tax rate</x:v>
      </x:c>
      <x:c r="B8" s="27" t="n">
        <x:v>0.25</x:v>
      </x:c>
    </x:row>
    <x:row r="9" ht="20" customHeight="1">
      <x:c r="A9" t="str">
        <x:v>D&amp;A / revenue</x:v>
      </x:c>
      <x:c r="B9" s="27" t="n">
        <x:v>0.02</x:v>
      </x:c>
    </x:row>
    <x:row r="10" ht="20" customHeight="1">
      <x:c r="A10" t="str">
        <x:v>Capex / revenue</x:v>
      </x:c>
      <x:c r="B10" s="27" t="n">
        <x:v>0.035</x:v>
      </x:c>
    </x:row>
    <x:row r="11" ht="20" customHeight="1">
      <x:c r="A11" t="str">
        <x:v>Incremental NWC / revenue change</x:v>
      </x:c>
      <x:c r="B11" s="27" t="n">
        <x:v>0.0025</x:v>
      </x:c>
    </x:row>
    <x:row r="12" ht="20" customHeight="1"/>
    <x:row r="13" ht="20" customHeight="1"/>
    <x:row r="14" ht="20" customHeight="1">
      <x:c r="A14" t="str">
        <x:v>FORECAST DRIVER</x:v>
      </x:c>
    </x:row>
    <x:row r="15" ht="20" customHeight="1">
      <x:c r="B15" t="n">
        <x:v>2027</x:v>
      </x:c>
      <x:c r="C15" t="n">
        <x:v>2028</x:v>
      </x:c>
      <x:c r="D15" t="n">
        <x:v>2029</x:v>
      </x:c>
      <x:c r="E15" t="n">
        <x:v>2030</x:v>
      </x:c>
      <x:c r="F15" t="n">
        <x:v>2031</x:v>
      </x:c>
    </x:row>
    <x:row r="16" ht="20" customHeight="1"/>
    <x:row r="17" ht="20" customHeight="1">
      <x:c r="A17" t="str">
        <x:v>Revenue growth</x:v>
      </x:c>
      <x:c r="B17" s="27" t="n">
        <x:v>0.046</x:v>
      </x:c>
      <x:c r="C17" s="27" t="n">
        <x:v>0.043</x:v>
      </x:c>
      <x:c r="D17" s="27" t="n">
        <x:v>0.04</x:v>
      </x:c>
      <x:c r="E17" s="27" t="n">
        <x:v>0.038</x:v>
      </x:c>
      <x:c r="F17" s="27" t="n">
        <x:v>0.035</x:v>
      </x:c>
    </x:row>
    <x:row r="18" ht="20" customHeight="1">
      <x:c r="A18" t="str">
        <x:v>Operating income margin</x:v>
      </x:c>
      <x:c r="B18" s="27" t="n">
        <x:v>0.042</x:v>
      </x:c>
      <x:c r="C18" s="27" t="n">
        <x:v>0.0425</x:v>
      </x:c>
      <x:c r="D18" s="27" t="n">
        <x:v>0.043</x:v>
      </x:c>
      <x:c r="E18" s="27" t="n">
        <x:v>0.0435</x:v>
      </x:c>
      <x:c r="F18" s="27" t="n">
        <x:v>0.044</x:v>
      </x:c>
    </x:row>
    <x:row r="19" ht="20" customHeight="1"/>
    <x:row r="20" ht="20" customHeight="1"/>
    <x:row r="21" ht="20" customHeight="1">
      <x:c r="A21" s="10" t="str">
        <x:v>Assumptions are analyst-selected ILLUSTRATIONS, not provided by Walmart.</x:v>
      </x:c>
      <x:c r="B21" s="10"/>
      <x:c r="C21" s="10"/>
      <x:c r="D21" s="10"/>
      <x:c r="E21" s="10"/>
      <x:c r="F21" s="10"/>
      <x:c r="G21" s="10"/>
      <x:c r="H21" s="10"/>
    </x:row>
    <x:row r="22" ht="20" customHeight="1">
      <x:c r="A22" s="10"/>
      <x:c r="B22" s="10"/>
      <x:c r="C22" s="10"/>
      <x:c r="D22" s="10"/>
      <x:c r="E22" s="10"/>
      <x:c r="F22" s="10"/>
      <x:c r="G22" s="10"/>
      <x:c r="H22" s="10"/>
    </x:row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</x:sheetData>
  <x:mergeCells>
    <x:mergeCell ref="A1:H2"/>
    <x:mergeCell ref="A21:H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3" t="str">
        <x:v>DCF | Unlevered Free Cash Flow Forecast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7" t="str">
        <x:v>Metric (USD millions)</x:v>
      </x:c>
      <x:c r="B4" s="7"/>
      <x:c r="C4" s="7"/>
      <x:c r="D4" s="7"/>
      <x:c r="E4" s="7"/>
      <x:c r="F4" s="7"/>
      <x:c r="G4" s="7"/>
      <x:c r="H4" s="7"/>
    </x:row>
    <x:row r="5" ht="20" customHeight="1"/>
    <x:row r="6" ht="20" customHeight="1">
      <x:c r="B6" t="n">
        <x:v>2027</x:v>
      </x:c>
      <x:c r="C6" t="n">
        <x:v>2028</x:v>
      </x:c>
      <x:c r="D6" t="n">
        <x:v>2029</x:v>
      </x:c>
      <x:c r="E6" t="n">
        <x:v>2030</x:v>
      </x:c>
      <x:c r="F6" t="n">
        <x:v>2031</x:v>
      </x:c>
    </x:row>
    <x:row r="7" ht="20" customHeight="1"/>
    <x:row r="8" ht="20" customHeight="1">
      <x:c r="A8" t="str">
        <x:v>Prior year revenue</x:v>
      </x:c>
      <x:c r="B8" s="34" t="n">
        <x:f>Historical!D7</x:f>
        <x:v>713163</x:v>
      </x:c>
      <x:c r="C8" s="16" t="n">
        <x:f>B10</x:f>
        <x:v>745968.498</x:v>
      </x:c>
      <x:c r="D8" s="16" t="n">
        <x:f>C10</x:f>
        <x:v>778045.1434139999</x:v>
      </x:c>
      <x:c r="E8" s="16" t="n">
        <x:f>D10</x:f>
        <x:v>809166.94915056</x:v>
      </x:c>
      <x:c r="F8" s="16" t="n">
        <x:f>E10</x:f>
        <x:v>839915.2932182812</x:v>
      </x:c>
    </x:row>
    <x:row r="9" ht="20" customHeight="1">
      <x:c r="A9" t="str">
        <x:v>Revenue growth</x:v>
      </x:c>
      <x:c r="B9" s="32" t="n">
        <x:f>Assumptions!B17</x:f>
        <x:v>0.046</x:v>
      </x:c>
      <x:c r="C9" s="32" t="n">
        <x:f>Assumptions!C17</x:f>
        <x:v>0.043</x:v>
      </x:c>
      <x:c r="D9" s="32" t="n">
        <x:f>Assumptions!D17</x:f>
        <x:v>0.04</x:v>
      </x:c>
      <x:c r="E9" s="32" t="n">
        <x:f>Assumptions!E17</x:f>
        <x:v>0.038</x:v>
      </x:c>
      <x:c r="F9" s="32" t="n">
        <x:f>Assumptions!F17</x:f>
        <x:v>0.035</x:v>
      </x:c>
    </x:row>
    <x:row r="10" ht="20" customHeight="1">
      <x:c r="A10" s="22" t="str">
        <x:v>Forecast total revenue</x:v>
      </x:c>
      <x:c r="B10" s="23" t="n">
        <x:f>B8*(1+B9)</x:f>
        <x:v>745968.498</x:v>
      </x:c>
      <x:c r="C10" s="23" t="n">
        <x:f>C8*(1+C9)</x:f>
        <x:v>778045.1434139999</x:v>
      </x:c>
      <x:c r="D10" s="23" t="n">
        <x:f>D8*(1+D9)</x:f>
        <x:v>809166.94915056</x:v>
      </x:c>
      <x:c r="E10" s="23" t="n">
        <x:f>E8*(1+E9)</x:f>
        <x:v>839915.2932182812</x:v>
      </x:c>
      <x:c r="F10" s="23" t="n">
        <x:f>F8*(1+F9)</x:f>
        <x:v>869312.328480921</x:v>
      </x:c>
    </x:row>
    <x:row r="11" ht="20" customHeight="1">
      <x:c r="B11" s="16"/>
      <x:c r="C11" s="16"/>
      <x:c r="D11" s="16"/>
      <x:c r="E11" s="16"/>
      <x:c r="F11" s="16"/>
    </x:row>
    <x:row r="12" ht="20" customHeight="1">
      <x:c r="A12" t="str">
        <x:v>EBIT margin</x:v>
      </x:c>
      <x:c r="B12" s="32" t="n">
        <x:f>Assumptions!B18</x:f>
        <x:v>0.042</x:v>
      </x:c>
      <x:c r="C12" s="32" t="n">
        <x:f>Assumptions!C18</x:f>
        <x:v>0.0425</x:v>
      </x:c>
      <x:c r="D12" s="32" t="n">
        <x:f>Assumptions!D18</x:f>
        <x:v>0.043</x:v>
      </x:c>
      <x:c r="E12" s="32" t="n">
        <x:f>Assumptions!E18</x:f>
        <x:v>0.0435</x:v>
      </x:c>
      <x:c r="F12" s="32" t="n">
        <x:f>Assumptions!F18</x:f>
        <x:v>0.044</x:v>
      </x:c>
    </x:row>
    <x:row r="13" ht="20" customHeight="1">
      <x:c r="A13" t="str">
        <x:v>Forecast EBIT</x:v>
      </x:c>
      <x:c r="B13" s="16" t="n">
        <x:f>B10*B12</x:f>
        <x:v>31330.676916000004</x:v>
      </x:c>
      <x:c r="C13" s="16" t="n">
        <x:f>C10*C12</x:f>
        <x:v>33066.918595095</x:v>
      </x:c>
      <x:c r="D13" s="16" t="n">
        <x:f>D10*D12</x:f>
        <x:v>34794.17881347408</x:v>
      </x:c>
      <x:c r="E13" s="16" t="n">
        <x:f>E10*E12</x:f>
        <x:v>36536.31525499523</x:v>
      </x:c>
      <x:c r="F13" s="16" t="n">
        <x:f>F10*F12</x:f>
        <x:v>38249.74245316052</x:v>
      </x:c>
    </x:row>
    <x:row r="14" ht="20" customHeight="1">
      <x:c r="A14" t="str">
        <x:v>Cash tax rate</x:v>
      </x:c>
      <x:c r="B14" s="32" t="n">
        <x:f>Assumptions!$B$8</x:f>
        <x:v>0.25</x:v>
      </x:c>
      <x:c r="C14" s="32" t="n">
        <x:f>Assumptions!$B$8</x:f>
        <x:v>0.25</x:v>
      </x:c>
      <x:c r="D14" s="32" t="n">
        <x:f>Assumptions!$B$8</x:f>
        <x:v>0.25</x:v>
      </x:c>
      <x:c r="E14" s="32" t="n">
        <x:f>Assumptions!$B$8</x:f>
        <x:v>0.25</x:v>
      </x:c>
      <x:c r="F14" s="32" t="n">
        <x:f>Assumptions!$B$8</x:f>
        <x:v>0.25</x:v>
      </x:c>
    </x:row>
    <x:row r="15" ht="20" customHeight="1">
      <x:c r="A15" s="22" t="str">
        <x:v>NOPAT</x:v>
      </x:c>
      <x:c r="B15" s="23" t="n">
        <x:f>B13*(1-B14)</x:f>
        <x:v>23498.007687000005</x:v>
      </x:c>
      <x:c r="C15" s="23" t="n">
        <x:f>C13*(1-C14)</x:f>
        <x:v>24800.18894632125</x:v>
      </x:c>
      <x:c r="D15" s="23" t="n">
        <x:f>D13*(1-D14)</x:f>
        <x:v>26095.63411010556</x:v>
      </x:c>
      <x:c r="E15" s="23" t="n">
        <x:f>E13*(1-E14)</x:f>
        <x:v>27402.236441246423</x:v>
      </x:c>
      <x:c r="F15" s="23" t="n">
        <x:f>F13*(1-F14)</x:f>
        <x:v>28687.30683987039</x:v>
      </x:c>
    </x:row>
    <x:row r="16" ht="20" customHeight="1">
      <x:c r="B16" s="16"/>
      <x:c r="C16" s="16"/>
      <x:c r="D16" s="16"/>
      <x:c r="E16" s="16"/>
      <x:c r="F16" s="16"/>
    </x:row>
    <x:row r="17" ht="20" customHeight="1">
      <x:c r="A17" t="str">
        <x:v>D&amp;A add-back</x:v>
      </x:c>
      <x:c r="B17" s="16" t="n">
        <x:f>B10*Assumptions!$B$9</x:f>
        <x:v>14919.36996</x:v>
      </x:c>
      <x:c r="C17" s="16" t="n">
        <x:f>C10*Assumptions!$B$9</x:f>
        <x:v>15560.902868279998</x:v>
      </x:c>
      <x:c r="D17" s="16" t="n">
        <x:f>D10*Assumptions!$B$9</x:f>
        <x:v>16183.3389830112</x:v>
      </x:c>
      <x:c r="E17" s="16" t="n">
        <x:f>E10*Assumptions!$B$9</x:f>
        <x:v>16798.305864365626</x:v>
      </x:c>
      <x:c r="F17" s="16" t="n">
        <x:f>F10*Assumptions!$B$9</x:f>
        <x:v>17386.24656961842</x:v>
      </x:c>
    </x:row>
    <x:row r="18" ht="20" customHeight="1">
      <x:c r="A18" t="str">
        <x:v>Capex spending</x:v>
      </x:c>
      <x:c r="B18" s="16" t="n">
        <x:f>B10*Assumptions!$B$10</x:f>
        <x:v>26108.897430000005</x:v>
      </x:c>
      <x:c r="C18" s="16" t="n">
        <x:f>C10*Assumptions!$B$10</x:f>
        <x:v>27231.58001949</x:v>
      </x:c>
      <x:c r="D18" s="16" t="n">
        <x:f>D10*Assumptions!$B$10</x:f>
        <x:v>28320.843220269602</x:v>
      </x:c>
      <x:c r="E18" s="16" t="n">
        <x:f>E10*Assumptions!$B$10</x:f>
        <x:v>29397.035262639845</x:v>
      </x:c>
      <x:c r="F18" s="16" t="n">
        <x:f>F10*Assumptions!$B$10</x:f>
        <x:v>30425.931496832236</x:v>
      </x:c>
    </x:row>
    <x:row r="19" ht="20" customHeight="1">
      <x:c r="A19" t="str">
        <x:v>Incremental NWC investment</x:v>
      </x:c>
      <x:c r="B19" s="16" t="n">
        <x:f>(B10-B8)*Assumptions!$B$11</x:f>
        <x:v>82.01374500000006</x:v>
      </x:c>
      <x:c r="C19" s="16" t="n">
        <x:f>(C10-C8)*Assumptions!$B$11</x:f>
        <x:v>80.19161353499977</x:v>
      </x:c>
      <x:c r="D19" s="16" t="n">
        <x:f>(D10-D8)*Assumptions!$B$11</x:f>
        <x:v>77.80451434140006</x:v>
      </x:c>
      <x:c r="E19" s="16" t="n">
        <x:f>(E10-E8)*Assumptions!$B$11</x:f>
        <x:v>76.8708601693032</x:v>
      </x:c>
      <x:c r="F19" s="16" t="n">
        <x:f>(F10-F8)*Assumptions!$B$11</x:f>
        <x:v>73.49258815659938</x:v>
      </x:c>
    </x:row>
    <x:row r="20" ht="20" customHeight="1">
      <x:c r="A20" s="22" t="str">
        <x:v>Unlevered FCFF</x:v>
      </x:c>
      <x:c r="B20" s="23" t="n">
        <x:f>B15+B17-B18-B19</x:f>
        <x:v>12226.466471999996</x:v>
      </x:c>
      <x:c r="C20" s="23" t="n">
        <x:f>C15+C17-C18-C19</x:f>
        <x:v>13049.320181576248</x:v>
      </x:c>
      <x:c r="D20" s="23" t="n">
        <x:f>D15+D17-D18-D19</x:f>
        <x:v>13880.325358505756</x:v>
      </x:c>
      <x:c r="E20" s="23" t="n">
        <x:f>E15+E17-E18-E19</x:f>
        <x:v>14726.6361828029</x:v>
      </x:c>
      <x:c r="F20" s="23" t="n">
        <x:f>F15+F17-F18-F19</x:f>
        <x:v>15574.129324499978</x:v>
      </x:c>
    </x:row>
    <x:row r="21" ht="20" customHeight="1">
      <x:c r="B21" s="16"/>
      <x:c r="C21" s="16"/>
      <x:c r="D21" s="16"/>
      <x:c r="E21" s="16"/>
      <x:c r="F21" s="16"/>
    </x:row>
    <x:row r="22" ht="20" customHeight="1">
      <x:c r="A22" t="str">
        <x:v>Present value factor</x:v>
      </x:c>
      <x:c r="B22" s="16" t="n">
        <x:f>1/(1+Assumptions!$B$6)^(B6-2026)</x:f>
        <x:v>0.9302325581395349</x:v>
      </x:c>
      <x:c r="C22" s="16" t="n">
        <x:f>1/(1+Assumptions!$B$6)^(C6-2026)</x:f>
        <x:v>0.8653326122228232</x:v>
      </x:c>
      <x:c r="D22" s="16" t="n">
        <x:f>1/(1+Assumptions!$B$6)^(D6-2026)</x:f>
        <x:v>0.804960569509603</x:v>
      </x:c>
      <x:c r="E22" s="16" t="n">
        <x:f>1/(1+Assumptions!$B$6)^(E6-2026)</x:f>
        <x:v>0.7488005297763749</x:v>
      </x:c>
      <x:c r="F22" s="16" t="n">
        <x:f>1/(1+Assumptions!$B$6)^(F6-2026)</x:f>
        <x:v>0.6965586323501162</x:v>
      </x:c>
    </x:row>
    <x:row r="23" ht="20" customHeight="1">
      <x:c r="A23" s="22" t="str">
        <x:v>PV of annual FCFF</x:v>
      </x:c>
      <x:c r="B23" s="23" t="n">
        <x:f>B20*B22</x:f>
        <x:v>11373.45718325581</x:v>
      </x:c>
      <x:c r="C23" s="23" t="n">
        <x:f>C20*C22</x:f>
        <x:v>11292.00232045538</x:v>
      </x:c>
      <x:c r="D23" s="23" t="n">
        <x:f>D20*D22</x:f>
        <x:v>11173.114605561377</x:v>
      </x:c>
      <x:c r="E23" s="23" t="n">
        <x:f>E20*E22</x:f>
        <x:v>11027.312975506744</x:v>
      </x:c>
      <x:c r="F23" s="23" t="n">
        <x:f>F20*F22</x:f>
        <x:v>10848.294222317543</x:v>
      </x:c>
    </x:row>
    <x:row r="24" ht="20" customHeight="1">
      <x:c r="B24" s="16"/>
      <x:c r="C24" s="16"/>
      <x:c r="D24" s="16"/>
      <x:c r="E24" s="16"/>
      <x:c r="F24" s="16"/>
    </x:row>
    <x:row r="25" ht="20" customHeight="1">
      <x:c r="B25" s="16"/>
      <x:c r="C25" s="16"/>
      <x:c r="D25" s="16"/>
      <x:c r="E25" s="16"/>
      <x:c r="F25" s="16"/>
    </x:row>
    <x:row r="26" ht="20" customHeight="1">
      <x:c r="B26" s="16"/>
      <x:c r="C26" s="16"/>
      <x:c r="D26" s="16"/>
      <x:c r="E26" s="16"/>
      <x:c r="F26" s="16"/>
    </x:row>
    <x:row r="27" ht="20" customHeight="1">
      <x:c r="A27" t="str">
        <x:v>PV explicit FCFF</x:v>
      </x:c>
      <x:c r="B27" s="16" t="n">
        <x:f>SUM(B23:F23)</x:f>
        <x:v>55714.18130709685</x:v>
      </x:c>
      <x:c r="C27" s="16"/>
      <x:c r="D27" s="16"/>
      <x:c r="E27" s="16"/>
      <x:c r="F27" s="16"/>
    </x:row>
    <x:row r="28" ht="20" customHeight="1">
      <x:c r="A28" t="str">
        <x:v>Final forecast FCFF</x:v>
      </x:c>
      <x:c r="B28" s="16" t="n">
        <x:f>F20</x:f>
        <x:v>15574.129324499978</x:v>
      </x:c>
      <x:c r="C28" s="16"/>
      <x:c r="D28" s="16"/>
      <x:c r="E28" s="16"/>
      <x:c r="F28" s="16"/>
    </x:row>
    <x:row r="29" ht="20" customHeight="1">
      <x:c r="A29" t="str">
        <x:v>WACC</x:v>
      </x:c>
      <x:c r="B29" s="18" t="n">
        <x:f>Assumptions!B6</x:f>
        <x:v>0.075</x:v>
      </x:c>
      <x:c r="C29" s="18"/>
      <x:c r="D29" s="18"/>
      <x:c r="E29" s="18"/>
      <x:c r="F29" s="18"/>
    </x:row>
    <x:row r="30" ht="20" customHeight="1">
      <x:c r="A30" t="str">
        <x:v>Terminal growth</x:v>
      </x:c>
      <x:c r="B30" s="18" t="n">
        <x:f>Assumptions!B7</x:f>
        <x:v>0.025</x:v>
      </x:c>
      <x:c r="C30" s="18"/>
      <x:c r="D30" s="18"/>
      <x:c r="E30" s="18"/>
      <x:c r="F30" s="18"/>
    </x:row>
    <x:row r="31" ht="20" customHeight="1">
      <x:c r="A31" t="str">
        <x:v>Undiscounted terminal value</x:v>
      </x:c>
      <x:c r="B31" s="16" t="n">
        <x:f>B28*(1+B30)/(B29-B30)</x:f>
        <x:v>319269.65115224954</x:v>
      </x:c>
      <x:c r="C31" s="16"/>
      <x:c r="D31" s="16"/>
      <x:c r="E31" s="16"/>
      <x:c r="F31" s="16"/>
    </x:row>
    <x:row r="32" ht="20" customHeight="1">
      <x:c r="A32" t="str">
        <x:v>PV of terminal value</x:v>
      </x:c>
      <x:c r="B32" s="16" t="n">
        <x:f>B31/(1+B29)^5</x:f>
        <x:v>222390.03155750962</x:v>
      </x:c>
      <x:c r="C32" s="16"/>
      <x:c r="D32" s="16"/>
      <x:c r="E32" s="16"/>
      <x:c r="F32" s="16"/>
    </x:row>
    <x:row r="33" ht="20" customHeight="1">
      <x:c r="A33" s="22" t="str">
        <x:v>ILLUSTRATIVE ENTERPRISE VALUE</x:v>
      </x:c>
      <x:c r="B33" s="23" t="n">
        <x:f>SUM(B27,B32)</x:f>
        <x:v>278104.21286460647</x:v>
      </x:c>
      <x:c r="C33" s="23"/>
      <x:c r="D33" s="23"/>
      <x:c r="E33" s="23"/>
      <x:c r="F33" s="23"/>
    </x:row>
    <x:row r="34" ht="20" customHeight="1"/>
    <x:row r="35" ht="20" customHeight="1">
      <x:c r="A35" t="str">
        <x:v>Terminal value / total EV</x:v>
      </x:c>
      <x:c r="B35" s="18" t="n">
        <x:f>B32/B33</x:f>
        <x:v>0.7996643749721943</x:v>
      </x:c>
      <x:c r="C35" s="18"/>
      <x:c r="D35" s="18"/>
      <x:c r="E35" s="18"/>
      <x:c r="F35" s="18"/>
    </x:row>
    <x:row r="36" ht="20" customHeight="1"/>
    <x:row r="37" ht="20" customHeight="1"/>
    <x:row r="38" ht="20" customHeight="1">
      <x:c r="A38" s="10" t="str">
        <x:v>CAUTION: terminal assumptions dominate, and EV is not the same as a quoted share price.</x:v>
      </x:c>
      <x:c r="B38" s="10"/>
      <x:c r="C38" s="10"/>
      <x:c r="D38" s="10"/>
      <x:c r="E38" s="10"/>
      <x:c r="F38" s="10"/>
      <x:c r="G38" s="10"/>
      <x:c r="H38" s="10"/>
    </x:row>
    <x:row r="39" ht="20" customHeight="1">
      <x:c r="A39" s="10"/>
      <x:c r="B39" s="10"/>
      <x:c r="C39" s="10"/>
      <x:c r="D39" s="10"/>
      <x:c r="E39" s="10"/>
      <x:c r="F39" s="10"/>
      <x:c r="G39" s="10"/>
      <x:c r="H39" s="10"/>
    </x:row>
    <x:row r="40" ht="20" customHeight="1"/>
    <x:row r="41" ht="20" customHeight="1"/>
    <x:row r="42" ht="20" customHeight="1"/>
    <x:row r="43" ht="20" customHeight="1"/>
    <x:row r="44" ht="20" customHeight="1"/>
  </x:sheetData>
  <x:mergeCells>
    <x:mergeCell ref="A1:H2"/>
    <x:mergeCell ref="A38:H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3" t="str">
        <x:v>Illustrative EV Sensitivity | WACC vs Terminal g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 ht="26" customHeight="1">
      <x:c r="A4" s="7" t="str">
        <x:v>WACC / Terminal g</x:v>
      </x:c>
      <x:c r="B4" s="7"/>
      <x:c r="C4" s="7"/>
      <x:c r="D4" s="7"/>
      <x:c r="E4" s="7"/>
      <x:c r="F4" s="7"/>
      <x:c r="G4" s="7"/>
      <x:c r="H4" s="7"/>
    </x:row>
    <x:row r="5" ht="20" customHeight="1">
      <x:c r="B5" s="18" t="n">
        <x:v>0.015</x:v>
      </x:c>
      <x:c r="C5" s="18" t="n">
        <x:v>0.02</x:v>
      </x:c>
      <x:c r="D5" s="18" t="n">
        <x:v>0.025</x:v>
      </x:c>
      <x:c r="E5" s="18" t="n">
        <x:v>0.03</x:v>
      </x:c>
      <x:c r="F5" s="18" t="n">
        <x:v>0.035</x:v>
      </x:c>
    </x:row>
    <x:row r="6" ht="20" customHeight="1">
      <x:c r="A6" s="18" t="n">
        <x:v>0.065</x:v>
      </x:c>
      <x:c r="B6" s="16" t="n">
        <x:f>(DCF!B20/(1+$A6)^1+DCF!C20/(1+$A6)^2+DCF!D20/(1+$A6)^3+DCF!E20/(1+$A6)^4+DCF!F20/(1+$A6)^5)+(DCF!F20*(1+B$5)/($A6-B$5))/(1+$A6)^5</x:f>
        <x:v>288046.0804687648</x:v>
      </x:c>
      <x:c r="C6" s="16" t="n">
        <x:f>(DCF!B20/(1+$A6)^1+DCF!C20/(1+$A6)^2+DCF!D20/(1+$A6)^3+DCF!E20/(1+$A6)^4+DCF!F20/(1+$A6)^5)+(DCF!F20*(1+C$5)/($A6-C$5))/(1+$A6)^5</x:f>
        <x:v>314948.59234546695</x:v>
      </x:c>
      <x:c r="D6" s="16" t="n">
        <x:f>(DCF!B20/(1+$A6)^1+DCF!C20/(1+$A6)^2+DCF!D20/(1+$A6)^3+DCF!E20/(1+$A6)^4+DCF!F20/(1+$A6)^5)+(DCF!F20*(1+D$5)/($A6-D$5))/(1+$A6)^5</x:f>
        <x:v>348576.7321913445</x:v>
      </x:c>
      <x:c r="E6" s="16" t="n">
        <x:f>(DCF!B20/(1+$A6)^1+DCF!C20/(1+$A6)^2+DCF!D20/(1+$A6)^3+DCF!E20/(1+$A6)^4+DCF!F20/(1+$A6)^5)+(DCF!F20*(1+E$5)/($A6-E$5))/(1+$A6)^5</x:f>
        <x:v>391812.9119931871</x:v>
      </x:c>
      <x:c r="F6" s="16" t="n">
        <x:f>(DCF!B20/(1+$A6)^1+DCF!C20/(1+$A6)^2+DCF!D20/(1+$A6)^3+DCF!E20/(1+$A6)^4+DCF!F20/(1+$A6)^5)+(DCF!F20*(1+F$5)/($A6-F$5))/(1+$A6)^5</x:f>
        <x:v>449461.1517289772</x:v>
      </x:c>
    </x:row>
    <x:row r="7" ht="20" customHeight="1">
      <x:c r="A7" s="18" t="n">
        <x:v>0.07</x:v>
      </x:c>
      <x:c r="B7" s="16" t="n">
        <x:f>(DCF!B20/(1+$A7)^1+DCF!C20/(1+$A7)^2+DCF!D20/(1+$A7)^3+DCF!E20/(1+$A7)^4+DCF!F20/(1+$A7)^5)+(DCF!F20*(1+B$5)/($A7-B$5))/(1+$A7)^5</x:f>
        <x:v>261415.72240270273</x:v>
      </x:c>
      <x:c r="C7" s="16" t="n">
        <x:f>(DCF!B20/(1+$A7)^1+DCF!C20/(1+$A7)^2+DCF!D20/(1+$A7)^3+DCF!E20/(1+$A7)^4+DCF!F20/(1+$A7)^5)+(DCF!F20*(1+C$5)/($A7-C$5))/(1+$A7)^5</x:f>
        <x:v>283018.32002719364</x:v>
      </x:c>
      <x:c r="D7" s="16" t="n">
        <x:f>(DCF!B20/(1+$A7)^1+DCF!C20/(1+$A7)^2+DCF!D20/(1+$A7)^3+DCF!E20/(1+$A7)^4+DCF!F20/(1+$A7)^5)+(DCF!F20*(1+D$5)/($A7-D$5))/(1+$A7)^5</x:f>
        <x:v>309421.49490157136</x:v>
      </x:c>
      <x:c r="E7" s="16" t="n">
        <x:f>(DCF!B20/(1+$A7)^1+DCF!C20/(1+$A7)^2+DCF!D20/(1+$A7)^3+DCF!E20/(1+$A7)^4+DCF!F20/(1+$A7)^5)+(DCF!F20*(1+E$5)/($A7-E$5))/(1+$A7)^5</x:f>
        <x:v>342425.46349454357</x:v>
      </x:c>
      <x:c r="F7" s="16" t="n">
        <x:f>(DCF!B20/(1+$A7)^1+DCF!C20/(1+$A7)^2+DCF!D20/(1+$A7)^3+DCF!E20/(1+$A7)^4+DCF!F20/(1+$A7)^5)+(DCF!F20*(1+F$5)/($A7-F$5))/(1+$A7)^5</x:f>
        <x:v>384859.1373997935</x:v>
      </x:c>
    </x:row>
    <x:row r="8" ht="20" customHeight="1">
      <x:c r="A8" s="18" t="n">
        <x:v>0.075</x:v>
      </x:c>
      <x:c r="B8" s="39" t="n">
        <x:f>(DCF!B20/(1+$A8)^1+DCF!C20/(1+$A8)^2+DCF!D20/(1+$A8)^3+DCF!E20/(1+$A8)^4+DCF!F20/(1+$A8)^5)+(DCF!F20*(1+B$5)/($A8-B$5))/(1+$A8)^5</x:f>
        <x:v>239231.1585679686</x:v>
      </x:c>
      <x:c r="C8" s="16" t="n">
        <x:f>(DCF!B20/(1+$A8)^1+DCF!C20/(1+$A8)^2+DCF!D20/(1+$A8)^3+DCF!E20/(1+$A8)^4+DCF!F20/(1+$A8)^5)+(DCF!F20*(1+C$5)/($A8-C$5))/(1+$A8)^5</x:f>
        <x:v>256900.72870280404</x:v>
      </x:c>
      <x:c r="D8" s="40" t="n">
        <x:f>(DCF!B20/(1+$A8)^1+DCF!C20/(1+$A8)^2+DCF!D20/(1+$A8)^3+DCF!E20/(1+$A8)^4+DCF!F20/(1+$A8)^5)+(DCF!F20*(1+D$5)/($A8-D$5))/(1+$A8)^5</x:f>
        <x:v>278104.21286460647</x:v>
      </x:c>
      <x:c r="E8" s="16" t="n">
        <x:f>(DCF!B20/(1+$A8)^1+DCF!C20/(1+$A8)^2+DCF!D20/(1+$A8)^3+DCF!E20/(1+$A8)^4+DCF!F20/(1+$A8)^5)+(DCF!F20*(1+E$5)/($A8-E$5))/(1+$A8)^5</x:f>
        <x:v>304019.5823956984</x:v>
      </x:c>
      <x:c r="F8" s="16" t="n">
        <x:f>(DCF!B20/(1+$A8)^1+DCF!C20/(1+$A8)^2+DCF!D20/(1+$A8)^3+DCF!E20/(1+$A8)^4+DCF!F20/(1+$A8)^5)+(DCF!F20*(1+F$5)/($A8-F$5))/(1+$A8)^5</x:f>
        <x:v>336413.7943095633</x:v>
      </x:c>
    </x:row>
    <x:row r="9" ht="20" customHeight="1">
      <x:c r="A9" s="18" t="n">
        <x:v>0.08</x:v>
      </x:c>
      <x:c r="B9" s="16" t="n">
        <x:f>(DCF!B20/(1+$A9)^1+DCF!C20/(1+$A9)^2+DCF!D20/(1+$A9)^3+DCF!E20/(1+$A9)^4+DCF!F20/(1+$A9)^5)+(DCF!F20*(1+B$5)/($A9-B$5))/(1+$A9)^5</x:f>
        <x:v>220466.2732212451</x:v>
      </x:c>
      <x:c r="C9" s="16" t="n">
        <x:f>(DCF!B20/(1+$A9)^1+DCF!C20/(1+$A9)^2+DCF!D20/(1+$A9)^3+DCF!E20/(1+$A9)^4+DCF!F20/(1+$A9)^5)+(DCF!F20*(1+C$5)/($A9-C$5))/(1+$A9)^5</x:f>
        <x:v>235142.49115050174</x:v>
      </x:c>
      <x:c r="D9" s="16" t="n">
        <x:f>(DCF!B20/(1+$A9)^1+DCF!C20/(1+$A9)^2+DCF!D20/(1+$A9)^3+DCF!E20/(1+$A9)^4+DCF!F20/(1+$A9)^5)+(DCF!F20*(1+D$5)/($A9-D$5))/(1+$A9)^5</x:f>
        <x:v>252487.11233962313</x:v>
      </x:c>
      <x:c r="E9" s="16" t="n">
        <x:f>(DCF!B20/(1+$A9)^1+DCF!C20/(1+$A9)^2+DCF!D20/(1+$A9)^3+DCF!E20/(1+$A9)^4+DCF!F20/(1+$A9)^5)+(DCF!F20*(1+E$5)/($A9-E$5))/(1+$A9)^5</x:f>
        <x:v>273300.6577665689</x:v>
      </x:c>
      <x:c r="F9" s="16" t="n">
        <x:f>(DCF!B20/(1+$A9)^1+DCF!C20/(1+$A9)^2+DCF!D20/(1+$A9)^3+DCF!E20/(1+$A9)^4+DCF!F20/(1+$A9)^5)+(DCF!F20*(1+F$5)/($A9-F$5))/(1+$A9)^5</x:f>
        <x:v>298739.4355106136</x:v>
      </x:c>
    </x:row>
    <x:row r="10" ht="20" customHeight="1">
      <x:c r="A10" s="18" t="n">
        <x:v>0.085</x:v>
      </x:c>
      <x:c r="B10" s="16" t="n">
        <x:f>(DCF!B20/(1+$A10)^1+DCF!C20/(1+$A10)^2+DCF!D20/(1+$A10)^3+DCF!E20/(1+$A10)^4+DCF!F20/(1+$A10)^5)+(DCF!F20*(1+B$5)/($A10-B$5))/(1+$A10)^5</x:f>
        <x:v>204388.13095464132</x:v>
      </x:c>
      <x:c r="C10" s="16" t="n">
        <x:f>(DCF!B20/(1+$A10)^1+DCF!C20/(1+$A10)^2+DCF!D20/(1+$A10)^3+DCF!E20/(1+$A10)^4+DCF!F20/(1+$A10)^5)+(DCF!F20*(1+C$5)/($A10-C$5))/(1+$A10)^5</x:f>
        <x:v>216737.46196609476</x:v>
      </x:c>
      <x:c r="D10" s="16" t="n">
        <x:f>(DCF!B20/(1+$A10)^1+DCF!C20/(1+$A10)^2+DCF!D20/(1+$A10)^3+DCF!E20/(1+$A10)^4+DCF!F20/(1+$A10)^5)+(DCF!F20*(1+D$5)/($A10-D$5))/(1+$A10)^5</x:f>
        <x:v>231145.0148127904</x:v>
      </x:c>
      <x:c r="E10" s="16" t="n">
        <x:f>(DCF!B20/(1+$A10)^1+DCF!C20/(1+$A10)^2+DCF!D20/(1+$A10)^3+DCF!E20/(1+$A10)^4+DCF!F20/(1+$A10)^5)+(DCF!F20*(1+E$5)/($A10-E$5))/(1+$A10)^5</x:f>
        <x:v>248172.12272252166</x:v>
      </x:c>
      <x:c r="F10" s="16" t="n">
        <x:f>(DCF!B20/(1+$A10)^1+DCF!C20/(1+$A10)^2+DCF!D20/(1+$A10)^3+DCF!E20/(1+$A10)^4+DCF!F20/(1+$A10)^5)+(DCF!F20*(1+F$5)/($A10-F$5))/(1+$A10)^5</x:f>
        <x:v>268604.65221419913</x:v>
      </x:c>
    </x:row>
    <x:row r="11" ht="20" customHeight="1"/>
    <x:row r="12" ht="20" customHeight="1"/>
    <x:row r="13" ht="20" customHeight="1">
      <x:c r="A13" s="10" t="str">
        <x:v>Uses the same FCFF forecast; recalculates annual PV at each alternate WACC.</x:v>
      </x:c>
      <x:c r="B13" s="10"/>
      <x:c r="C13" s="10"/>
      <x:c r="D13" s="10"/>
      <x:c r="E13" s="10"/>
      <x:c r="F13" s="10"/>
      <x:c r="G13" s="10"/>
      <x:c r="H13" s="10"/>
    </x:row>
    <x:row r="14" ht="20" customHeight="1">
      <x:c r="A14" s="10"/>
      <x:c r="B14" s="10"/>
      <x:c r="C14" s="10"/>
      <x:c r="D14" s="10"/>
      <x:c r="E14" s="10"/>
      <x:c r="F14" s="10"/>
      <x:c r="G14" s="10"/>
      <x:c r="H14" s="10"/>
    </x:row>
    <x:row r="15" ht="20" customHeight="1"/>
    <x:row r="16" ht="20" customHeight="1">
      <x:c r="A16" s="10" t="str">
        <x:v>Base assumptions: WACC 7.5%, terminal growth 2.5% =&gt; cell D8.</x:v>
      </x:c>
      <x:c r="B16" s="10"/>
      <x:c r="C16" s="10"/>
      <x:c r="D16" s="10"/>
      <x:c r="E16" s="10"/>
      <x:c r="F16" s="10"/>
      <x:c r="G16" s="10"/>
      <x:c r="H16" s="10"/>
    </x:row>
    <x:row r="17" ht="20" customHeight="1">
      <x:c r="A17" s="10"/>
      <x:c r="B17" s="10"/>
      <x:c r="C17" s="10"/>
      <x:c r="D17" s="10"/>
      <x:c r="E17" s="10"/>
      <x:c r="F17" s="10"/>
      <x:c r="G17" s="10"/>
      <x:c r="H17" s="10"/>
    </x:row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</x:sheetData>
  <x:mergeCells>
    <x:mergeCell ref="A1:H2"/>
    <x:mergeCell ref="A13:H14"/>
    <x:mergeCell ref="A16:H17"/>
  </x:mergeCells>
  <x:pageMargins left="0.7" right="0.7" top="0.75" bottom="0.75" header="0.3" footer="0.3"/>
</x:worksheet>
</file>