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3e53507e1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Summary" sheetId="1" r:id="Rbf5c5835d6444871"/>
    <x:sheet xmlns:r="http://schemas.openxmlformats.org/officeDocument/2006/relationships" name="Invoice Register" sheetId="2" r:id="R3b57450116ac40ad"/>
    <x:sheet xmlns:r="http://schemas.openxmlformats.org/officeDocument/2006/relationships" name="GL Journal" sheetId="3" r:id="R8e475adc120e4bce"/>
    <x:sheet xmlns:r="http://schemas.openxmlformats.org/officeDocument/2006/relationships" name="Review Queue" sheetId="4" r:id="R8f87d074765b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5">
    <x:font>
      <x:sz val="11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FFF1BA"/>
      </x:patternFill>
    </x:fill>
    <x:fill>
      <x:patternFill patternType="solid">
        <x:fgColor rgb="FFEAF5F8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b42dd929c4a9f" /><Relationship Type="http://schemas.openxmlformats.org/officeDocument/2006/relationships/theme" Target="/xl/theme/theme1.xml" Id="Rb4f352ed3ab345fe" /><Relationship Type="http://schemas.openxmlformats.org/officeDocument/2006/relationships/sharedStrings" Target="/xl/sharedStrings.xml" Id="Rc6b73a78414842ae" /><Relationship Type="http://schemas.openxmlformats.org/officeDocument/2006/relationships/worksheet" Target="/xl/worksheets/sheet1.xml" Id="Rbf5c5835d6444871" /><Relationship Type="http://schemas.openxmlformats.org/officeDocument/2006/relationships/worksheet" Target="/xl/worksheets/sheet2.xml" Id="R3b57450116ac40ad" /><Relationship Type="http://schemas.openxmlformats.org/officeDocument/2006/relationships/worksheet" Target="/xl/worksheets/sheet3.xml" Id="R8e475adc120e4bce" /><Relationship Type="http://schemas.openxmlformats.org/officeDocument/2006/relationships/worksheet" Target="/xl/worksheets/sheet4.xml" Id="R8f87d074765b478a" /></Relationships>
</file>

<file path=xl/theme/theme1.xml><?xml version="1.0" encoding="utf-8"?>
<a:theme xmlns:a="http://schemas.openxmlformats.org/drawingml/2006/main" name="Finance Portfolio">
  <a:themeElements>
    <a:clrScheme name="Finance Portfoli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Finance Portfoli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24" hidden="0" customWidth="1"/>
  </x:cols>
  <x:sheetData>
    <x:row r="1">
      <x:c r="A1" s="3" t="str">
        <x:v>Invoice vs. General Ledger | Synthetic Control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7" t="str">
        <x:v>All records fictitious · 2026-09 · Analyst learning case · Python is the exception-detection engine</x:v>
      </x:c>
      <x:c r="B4" s="7"/>
      <x:c r="C4" s="7"/>
      <x:c r="D4" s="7"/>
      <x:c r="E4" s="7"/>
      <x:c r="F4" s="7"/>
      <x:c r="G4" s="7"/>
      <x:c r="H4" s="7"/>
    </x:row>
    <x:row r="6">
      <x:c r="A6" t="str">
        <x:v>Invoices in register</x:v>
      </x:c>
      <x:c r="B6" t="n">
        <x:f>COUNTA('Invoice Register'!A6:A77)</x:f>
        <x:v>72</x:v>
      </x:c>
    </x:row>
    <x:row r="7">
      <x:c r="A7" t="str">
        <x:v>GL journal lines</x:v>
      </x:c>
      <x:c r="B7" t="n">
        <x:f>COUNTA('GL Journal'!A6:A78)</x:f>
        <x:v>73</x:v>
      </x:c>
    </x:row>
    <x:row r="8">
      <x:c r="A8" t="str">
        <x:v>Unique reconciliation keys</x:v>
      </x:c>
      <x:c r="B8" t="n">
        <x:f>COUNTA('Review Queue'!A6:A79)</x:f>
        <x:v>74</x:v>
      </x:c>
    </x:row>
    <x:row r="9">
      <x:c r="A9" s="10" t="str">
        <x:v>Matched keys</x:v>
      </x:c>
      <x:c r="B9" s="10" t="n">
        <x:f>COUNTIF('Review Queue'!I6:I79,"MATCHED")</x:f>
        <x:v>66</x:v>
      </x:c>
    </x:row>
    <x:row r="10">
      <x:c r="A10" s="10" t="str">
        <x:v>Keys with exceptions</x:v>
      </x:c>
      <x:c r="B10" s="10" t="n">
        <x:f>COUNTIF('Review Queue'!I6:I79,"EXCEPTION")</x:f>
        <x:v>8</x:v>
      </x:c>
    </x:row>
    <x:row r="11">
      <x:c r="A11" t="str">
        <x:v>Register total (USD)</x:v>
      </x:c>
      <x:c r="B11" t="n">
        <x:f>SUM('Invoice Register'!E6:E77)</x:f>
        <x:v>232301.33</x:v>
      </x:c>
    </x:row>
    <x:row r="12">
      <x:c r="A12" t="str">
        <x:v>GL posted total (USD)</x:v>
      </x:c>
      <x:c r="B12" t="n">
        <x:f>SUM('GL Journal'!E6:E78)</x:f>
        <x:v>233611.9</x:v>
      </x:c>
    </x:row>
    <x:row r="13">
      <x:c r="A13" t="str">
        <x:v>Register less ledger (USD)</x:v>
      </x:c>
      <x:c r="B13" t="n">
        <x:f>B11-B12</x:f>
        <x:v>-1310.570000000007</x:v>
      </x:c>
    </x:row>
    <x:row r="16">
      <x:c r="A16" s="12" t="str">
        <x:v>MATCHING LOGIC: review queue is produced by reproducible Python; this Excel workbook verifies row counts and monetary control totals. Duplicate GL lines are not silently netted away.</x:v>
      </x:c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9">
      <x:c r="A19" t="str">
        <x:v>Source: src/generate_data.py and src/reconcile.py | No external financial data.</x:v>
      </x:c>
    </x:row>
  </x:sheetData>
  <x:mergeCells>
    <x:mergeCell ref="A1:H2"/>
    <x:mergeCell ref="A4:H4"/>
    <x:mergeCell ref="A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7" hidden="0" customWidth="1"/>
    <x:col min="4" max="4" width="23" hidden="0" customWidth="1"/>
    <x:col min="5" max="5" width="24" hidden="0" customWidth="1"/>
  </x:cols>
  <x:sheetData>
    <x:row r="1" ht="25" customHeight="1">
      <x:c r="A1" s="3" t="str">
        <x:v>Invoice Register · 100% Synthetic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>
      <x:c r="A3" s="12" t="str">
        <x:v>Invented payable invoices (72 rows)</x:v>
      </x:c>
      <x:c r="B3" s="12"/>
      <x:c r="C3" s="12"/>
      <x:c r="D3" s="12"/>
      <x:c r="E3" s="12"/>
      <x:c r="F3" s="12"/>
      <x:c r="G3" s="12"/>
      <x:c r="H3" s="12"/>
    </x:row>
    <x:row r="5" ht="30" customHeight="1">
      <x:c r="A5" s="16" t="str">
        <x:v>invoice_id</x:v>
      </x:c>
      <x:c r="B5" s="16" t="str">
        <x:v>invoice_date</x:v>
      </x:c>
      <x:c r="C5" s="16" t="str">
        <x:v>vendor</x:v>
      </x:c>
      <x:c r="D5" s="16" t="str">
        <x:v>department</x:v>
      </x:c>
      <x:c r="E5" s="16" t="str">
        <x:v>invoice_amount_usd</x:v>
      </x:c>
    </x:row>
    <x:row r="6">
      <x:c r="A6" s="22" t="str">
        <x:v>INV-0001</x:v>
      </x:c>
      <x:c r="B6" s="22" t="str">
        <x:v>2026-09-08</x:v>
      </x:c>
      <x:c r="C6" s="22" t="str">
        <x:v>Aspen Supplies</x:v>
      </x:c>
      <x:c r="D6" s="22" t="str">
        <x:v>Operations</x:v>
      </x:c>
      <x:c r="E6" s="23" t="n">
        <x:v>3879.18</x:v>
      </x:c>
    </x:row>
    <x:row r="7">
      <x:c r="A7" s="22" t="str">
        <x:v>INV-0002</x:v>
      </x:c>
      <x:c r="B7" s="22" t="str">
        <x:v>2026-09-15</x:v>
      </x:c>
      <x:c r="C7" s="22" t="str">
        <x:v>Birch Office</x:v>
      </x:c>
      <x:c r="D7" s="22" t="str">
        <x:v>IT</x:v>
      </x:c>
      <x:c r="E7" s="23" t="n">
        <x:v>6270.51</x:v>
      </x:c>
    </x:row>
    <x:row r="8">
      <x:c r="A8" s="22" t="str">
        <x:v>INV-0003</x:v>
      </x:c>
      <x:c r="B8" s="22" t="str">
        <x:v>2026-09-22</x:v>
      </x:c>
      <x:c r="C8" s="22" t="str">
        <x:v>Cedar Services</x:v>
      </x:c>
      <x:c r="D8" s="22" t="str">
        <x:v>Marketing</x:v>
      </x:c>
      <x:c r="E8" s="23" t="n">
        <x:v>6201.03</x:v>
      </x:c>
    </x:row>
    <x:row r="9">
      <x:c r="A9" s="22" t="str">
        <x:v>INV-0004</x:v>
      </x:c>
      <x:c r="B9" s="22" t="str">
        <x:v>2026-09-29</x:v>
      </x:c>
      <x:c r="C9" s="22" t="str">
        <x:v>Delta Hardware</x:v>
      </x:c>
      <x:c r="D9" s="22" t="str">
        <x:v>Administration</x:v>
      </x:c>
      <x:c r="E9" s="23" t="n">
        <x:v>1476.15</x:v>
      </x:c>
    </x:row>
    <x:row r="10">
      <x:c r="A10" s="22" t="str">
        <x:v>INV-0005</x:v>
      </x:c>
      <x:c r="B10" s="22" t="str">
        <x:v>2026-09-06</x:v>
      </x:c>
      <x:c r="C10" s="22" t="str">
        <x:v>Aspen Supplies</x:v>
      </x:c>
      <x:c r="D10" s="22" t="str">
        <x:v>Operations</x:v>
      </x:c>
      <x:c r="E10" s="23" t="n">
        <x:v>3562.92</x:v>
      </x:c>
    </x:row>
    <x:row r="11">
      <x:c r="A11" s="22" t="str">
        <x:v>INV-0006</x:v>
      </x:c>
      <x:c r="B11" s="22" t="str">
        <x:v>2026-09-13</x:v>
      </x:c>
      <x:c r="C11" s="22" t="str">
        <x:v>Birch Office</x:v>
      </x:c>
      <x:c r="D11" s="22" t="str">
        <x:v>IT</x:v>
      </x:c>
      <x:c r="E11" s="23" t="n">
        <x:v>1825.92</x:v>
      </x:c>
    </x:row>
    <x:row r="12">
      <x:c r="A12" s="22" t="str">
        <x:v>INV-0007</x:v>
      </x:c>
      <x:c r="B12" s="22" t="str">
        <x:v>2026-09-20</x:v>
      </x:c>
      <x:c r="C12" s="22" t="str">
        <x:v>Cedar Services</x:v>
      </x:c>
      <x:c r="D12" s="22" t="str">
        <x:v>Marketing</x:v>
      </x:c>
      <x:c r="E12" s="23" t="n">
        <x:v>301.52</x:v>
      </x:c>
    </x:row>
    <x:row r="13">
      <x:c r="A13" s="22" t="str">
        <x:v>INV-0008</x:v>
      </x:c>
      <x:c r="B13" s="22" t="str">
        <x:v>2026-09-27</x:v>
      </x:c>
      <x:c r="C13" s="22" t="str">
        <x:v>Delta Hardware</x:v>
      </x:c>
      <x:c r="D13" s="22" t="str">
        <x:v>Administration</x:v>
      </x:c>
      <x:c r="E13" s="23" t="n">
        <x:v>1003.37</x:v>
      </x:c>
    </x:row>
    <x:row r="14">
      <x:c r="A14" s="22" t="str">
        <x:v>INV-0009</x:v>
      </x:c>
      <x:c r="B14" s="22" t="str">
        <x:v>2026-09-04</x:v>
      </x:c>
      <x:c r="C14" s="22" t="str">
        <x:v>Aspen Supplies</x:v>
      </x:c>
      <x:c r="D14" s="22" t="str">
        <x:v>Operations</x:v>
      </x:c>
      <x:c r="E14" s="23" t="n">
        <x:v>4752.04</x:v>
      </x:c>
    </x:row>
    <x:row r="15">
      <x:c r="A15" s="22" t="str">
        <x:v>INV-0010</x:v>
      </x:c>
      <x:c r="B15" s="22" t="str">
        <x:v>2026-09-11</x:v>
      </x:c>
      <x:c r="C15" s="22" t="str">
        <x:v>Birch Office</x:v>
      </x:c>
      <x:c r="D15" s="22" t="str">
        <x:v>IT</x:v>
      </x:c>
      <x:c r="E15" s="23" t="n">
        <x:v>1999.73</x:v>
      </x:c>
    </x:row>
    <x:row r="16">
      <x:c r="A16" s="22" t="str">
        <x:v>INV-0011</x:v>
      </x:c>
      <x:c r="B16" s="22" t="str">
        <x:v>2026-09-18</x:v>
      </x:c>
      <x:c r="C16" s="22" t="str">
        <x:v>Cedar Services</x:v>
      </x:c>
      <x:c r="D16" s="22" t="str">
        <x:v>Marketing</x:v>
      </x:c>
      <x:c r="E16" s="23" t="n">
        <x:v>4222.82</x:v>
      </x:c>
    </x:row>
    <x:row r="17">
      <x:c r="A17" s="22" t="str">
        <x:v>INV-0012</x:v>
      </x:c>
      <x:c r="B17" s="22" t="str">
        <x:v>2026-09-25</x:v>
      </x:c>
      <x:c r="C17" s="22" t="str">
        <x:v>Delta Hardware</x:v>
      </x:c>
      <x:c r="D17" s="22" t="str">
        <x:v>Administration</x:v>
      </x:c>
      <x:c r="E17" s="23" t="n">
        <x:v>1854.84</x:v>
      </x:c>
    </x:row>
    <x:row r="18">
      <x:c r="A18" s="22" t="str">
        <x:v>INV-0013</x:v>
      </x:c>
      <x:c r="B18" s="22" t="str">
        <x:v>2026-09-02</x:v>
      </x:c>
      <x:c r="C18" s="22" t="str">
        <x:v>Aspen Supplies</x:v>
      </x:c>
      <x:c r="D18" s="22" t="str">
        <x:v>Operations</x:v>
      </x:c>
      <x:c r="E18" s="23" t="n">
        <x:v>2138.31</x:v>
      </x:c>
    </x:row>
    <x:row r="19">
      <x:c r="A19" s="22" t="str">
        <x:v>INV-0014</x:v>
      </x:c>
      <x:c r="B19" s="22" t="str">
        <x:v>2026-09-09</x:v>
      </x:c>
      <x:c r="C19" s="22" t="str">
        <x:v>Birch Office</x:v>
      </x:c>
      <x:c r="D19" s="22" t="str">
        <x:v>IT</x:v>
      </x:c>
      <x:c r="E19" s="23" t="n">
        <x:v>627.51</x:v>
      </x:c>
    </x:row>
    <x:row r="20">
      <x:c r="A20" s="22" t="str">
        <x:v>INV-0015</x:v>
      </x:c>
      <x:c r="B20" s="22" t="str">
        <x:v>2026-09-16</x:v>
      </x:c>
      <x:c r="C20" s="22" t="str">
        <x:v>Cedar Services</x:v>
      </x:c>
      <x:c r="D20" s="22" t="str">
        <x:v>Marketing</x:v>
      </x:c>
      <x:c r="E20" s="23" t="n">
        <x:v>4223.82</x:v>
      </x:c>
    </x:row>
    <x:row r="21">
      <x:c r="A21" s="22" t="str">
        <x:v>INV-0016</x:v>
      </x:c>
      <x:c r="B21" s="22" t="str">
        <x:v>2026-09-23</x:v>
      </x:c>
      <x:c r="C21" s="22" t="str">
        <x:v>Delta Hardware</x:v>
      </x:c>
      <x:c r="D21" s="22" t="str">
        <x:v>Administration</x:v>
      </x:c>
      <x:c r="E21" s="23" t="n">
        <x:v>1589.45</x:v>
      </x:c>
    </x:row>
    <x:row r="22">
      <x:c r="A22" s="22" t="str">
        <x:v>INV-0017</x:v>
      </x:c>
      <x:c r="B22" s="22" t="str">
        <x:v>2026-09-30</x:v>
      </x:c>
      <x:c r="C22" s="22" t="str">
        <x:v>Aspen Supplies</x:v>
      </x:c>
      <x:c r="D22" s="22" t="str">
        <x:v>Operations</x:v>
      </x:c>
      <x:c r="E22" s="23" t="n">
        <x:v>637.01</x:v>
      </x:c>
    </x:row>
    <x:row r="23">
      <x:c r="A23" s="22" t="str">
        <x:v>INV-0018</x:v>
      </x:c>
      <x:c r="B23" s="22" t="str">
        <x:v>2026-09-07</x:v>
      </x:c>
      <x:c r="C23" s="22" t="str">
        <x:v>Birch Office</x:v>
      </x:c>
      <x:c r="D23" s="22" t="str">
        <x:v>IT</x:v>
      </x:c>
      <x:c r="E23" s="23" t="n">
        <x:v>2695.48</x:v>
      </x:c>
    </x:row>
    <x:row r="24">
      <x:c r="A24" s="22" t="str">
        <x:v>INV-0019</x:v>
      </x:c>
      <x:c r="B24" s="22" t="str">
        <x:v>2026-09-14</x:v>
      </x:c>
      <x:c r="C24" s="22" t="str">
        <x:v>Cedar Services</x:v>
      </x:c>
      <x:c r="D24" s="22" t="str">
        <x:v>Marketing</x:v>
      </x:c>
      <x:c r="E24" s="23" t="n">
        <x:v>5512.55</x:v>
      </x:c>
    </x:row>
    <x:row r="25">
      <x:c r="A25" s="22" t="str">
        <x:v>INV-0020</x:v>
      </x:c>
      <x:c r="B25" s="22" t="str">
        <x:v>2026-09-21</x:v>
      </x:c>
      <x:c r="C25" s="22" t="str">
        <x:v>Delta Hardware</x:v>
      </x:c>
      <x:c r="D25" s="22" t="str">
        <x:v>Administration</x:v>
      </x:c>
      <x:c r="E25" s="23" t="n">
        <x:v>249.52</x:v>
      </x:c>
    </x:row>
    <x:row r="26">
      <x:c r="A26" s="22" t="str">
        <x:v>INV-0021</x:v>
      </x:c>
      <x:c r="B26" s="22" t="str">
        <x:v>2026-09-28</x:v>
      </x:c>
      <x:c r="C26" s="22" t="str">
        <x:v>Aspen Supplies</x:v>
      </x:c>
      <x:c r="D26" s="22" t="str">
        <x:v>Operations</x:v>
      </x:c>
      <x:c r="E26" s="23" t="n">
        <x:v>3657.42</x:v>
      </x:c>
    </x:row>
    <x:row r="27">
      <x:c r="A27" s="22" t="str">
        <x:v>INV-0022</x:v>
      </x:c>
      <x:c r="B27" s="22" t="str">
        <x:v>2026-09-05</x:v>
      </x:c>
      <x:c r="C27" s="22" t="str">
        <x:v>Birch Office</x:v>
      </x:c>
      <x:c r="D27" s="22" t="str">
        <x:v>IT</x:v>
      </x:c>
      <x:c r="E27" s="23" t="n">
        <x:v>4364.39</x:v>
      </x:c>
    </x:row>
    <x:row r="28">
      <x:c r="A28" s="22" t="str">
        <x:v>INV-0023</x:v>
      </x:c>
      <x:c r="B28" s="22" t="str">
        <x:v>2026-09-12</x:v>
      </x:c>
      <x:c r="C28" s="22" t="str">
        <x:v>Cedar Services</x:v>
      </x:c>
      <x:c r="D28" s="22" t="str">
        <x:v>Marketing</x:v>
      </x:c>
      <x:c r="E28" s="23" t="n">
        <x:v>2265.34</x:v>
      </x:c>
    </x:row>
    <x:row r="29">
      <x:c r="A29" s="22" t="str">
        <x:v>INV-0024</x:v>
      </x:c>
      <x:c r="B29" s="22" t="str">
        <x:v>2026-09-19</x:v>
      </x:c>
      <x:c r="C29" s="22" t="str">
        <x:v>Delta Hardware</x:v>
      </x:c>
      <x:c r="D29" s="22" t="str">
        <x:v>Administration</x:v>
      </x:c>
      <x:c r="E29" s="23" t="n">
        <x:v>5319.75</x:v>
      </x:c>
    </x:row>
    <x:row r="30">
      <x:c r="A30" s="22" t="str">
        <x:v>INV-0025</x:v>
      </x:c>
      <x:c r="B30" s="22" t="str">
        <x:v>2026-09-26</x:v>
      </x:c>
      <x:c r="C30" s="22" t="str">
        <x:v>Aspen Supplies</x:v>
      </x:c>
      <x:c r="D30" s="22" t="str">
        <x:v>Operations</x:v>
      </x:c>
      <x:c r="E30" s="23" t="n">
        <x:v>3782.42</x:v>
      </x:c>
    </x:row>
    <x:row r="31">
      <x:c r="A31" s="22" t="str">
        <x:v>INV-0026</x:v>
      </x:c>
      <x:c r="B31" s="22" t="str">
        <x:v>2026-09-03</x:v>
      </x:c>
      <x:c r="C31" s="22" t="str">
        <x:v>Birch Office</x:v>
      </x:c>
      <x:c r="D31" s="22" t="str">
        <x:v>IT</x:v>
      </x:c>
      <x:c r="E31" s="23" t="n">
        <x:v>5914.25</x:v>
      </x:c>
    </x:row>
    <x:row r="32">
      <x:c r="A32" s="22" t="str">
        <x:v>INV-0027</x:v>
      </x:c>
      <x:c r="B32" s="22" t="str">
        <x:v>2026-09-10</x:v>
      </x:c>
      <x:c r="C32" s="22" t="str">
        <x:v>Cedar Services</x:v>
      </x:c>
      <x:c r="D32" s="22" t="str">
        <x:v>Marketing</x:v>
      </x:c>
      <x:c r="E32" s="23" t="n">
        <x:v>2469.42</x:v>
      </x:c>
    </x:row>
    <x:row r="33">
      <x:c r="A33" s="22" t="str">
        <x:v>INV-0028</x:v>
      </x:c>
      <x:c r="B33" s="22" t="str">
        <x:v>2026-09-17</x:v>
      </x:c>
      <x:c r="C33" s="22" t="str">
        <x:v>Delta Hardware</x:v>
      </x:c>
      <x:c r="D33" s="22" t="str">
        <x:v>Administration</x:v>
      </x:c>
      <x:c r="E33" s="23" t="n">
        <x:v>366.36</x:v>
      </x:c>
    </x:row>
    <x:row r="34">
      <x:c r="A34" s="22" t="str">
        <x:v>INV-0029</x:v>
      </x:c>
      <x:c r="B34" s="22" t="str">
        <x:v>2026-09-24</x:v>
      </x:c>
      <x:c r="C34" s="22" t="str">
        <x:v>Aspen Supplies</x:v>
      </x:c>
      <x:c r="D34" s="22" t="str">
        <x:v>Operations</x:v>
      </x:c>
      <x:c r="E34" s="23" t="n">
        <x:v>3844.08</x:v>
      </x:c>
    </x:row>
    <x:row r="35">
      <x:c r="A35" s="22" t="str">
        <x:v>INV-0030</x:v>
      </x:c>
      <x:c r="B35" s="22" t="str">
        <x:v>2026-09-01</x:v>
      </x:c>
      <x:c r="C35" s="22" t="str">
        <x:v>Birch Office</x:v>
      </x:c>
      <x:c r="D35" s="22" t="str">
        <x:v>IT</x:v>
      </x:c>
      <x:c r="E35" s="23" t="n">
        <x:v>125.02</x:v>
      </x:c>
    </x:row>
    <x:row r="36">
      <x:c r="A36" s="22" t="str">
        <x:v>INV-0031</x:v>
      </x:c>
      <x:c r="B36" s="22" t="str">
        <x:v>2026-09-08</x:v>
      </x:c>
      <x:c r="C36" s="22" t="str">
        <x:v>Cedar Services</x:v>
      </x:c>
      <x:c r="D36" s="22" t="str">
        <x:v>Marketing</x:v>
      </x:c>
      <x:c r="E36" s="23" t="n">
        <x:v>4704.92</x:v>
      </x:c>
    </x:row>
    <x:row r="37">
      <x:c r="A37" s="22" t="str">
        <x:v>INV-0032</x:v>
      </x:c>
      <x:c r="B37" s="22" t="str">
        <x:v>2026-09-15</x:v>
      </x:c>
      <x:c r="C37" s="22" t="str">
        <x:v>Delta Hardware</x:v>
      </x:c>
      <x:c r="D37" s="22" t="str">
        <x:v>Administration</x:v>
      </x:c>
      <x:c r="E37" s="23" t="n">
        <x:v>5646.36</x:v>
      </x:c>
    </x:row>
    <x:row r="38">
      <x:c r="A38" s="22" t="str">
        <x:v>INV-0033</x:v>
      </x:c>
      <x:c r="B38" s="22" t="str">
        <x:v>2026-09-22</x:v>
      </x:c>
      <x:c r="C38" s="22" t="str">
        <x:v>Aspen Supplies</x:v>
      </x:c>
      <x:c r="D38" s="22" t="str">
        <x:v>Operations</x:v>
      </x:c>
      <x:c r="E38" s="23" t="n">
        <x:v>2208.37</x:v>
      </x:c>
    </x:row>
    <x:row r="39">
      <x:c r="A39" s="22" t="str">
        <x:v>INV-0034</x:v>
      </x:c>
      <x:c r="B39" s="22" t="str">
        <x:v>2026-09-29</x:v>
      </x:c>
      <x:c r="C39" s="22" t="str">
        <x:v>Birch Office</x:v>
      </x:c>
      <x:c r="D39" s="22" t="str">
        <x:v>IT</x:v>
      </x:c>
      <x:c r="E39" s="23" t="n">
        <x:v>3815.76</x:v>
      </x:c>
    </x:row>
    <x:row r="40">
      <x:c r="A40" s="22" t="str">
        <x:v>INV-0035</x:v>
      </x:c>
      <x:c r="B40" s="22" t="str">
        <x:v>2026-09-06</x:v>
      </x:c>
      <x:c r="C40" s="22" t="str">
        <x:v>Cedar Services</x:v>
      </x:c>
      <x:c r="D40" s="22" t="str">
        <x:v>Marketing</x:v>
      </x:c>
      <x:c r="E40" s="23" t="n">
        <x:v>1824.39</x:v>
      </x:c>
    </x:row>
    <x:row r="41">
      <x:c r="A41" s="22" t="str">
        <x:v>INV-0036</x:v>
      </x:c>
      <x:c r="B41" s="22" t="str">
        <x:v>2026-09-13</x:v>
      </x:c>
      <x:c r="C41" s="22" t="str">
        <x:v>Delta Hardware</x:v>
      </x:c>
      <x:c r="D41" s="22" t="str">
        <x:v>Administration</x:v>
      </x:c>
      <x:c r="E41" s="23" t="n">
        <x:v>2060.17</x:v>
      </x:c>
    </x:row>
    <x:row r="42">
      <x:c r="A42" s="22" t="str">
        <x:v>INV-0037</x:v>
      </x:c>
      <x:c r="B42" s="22" t="str">
        <x:v>2026-09-20</x:v>
      </x:c>
      <x:c r="C42" s="22" t="str">
        <x:v>Aspen Supplies</x:v>
      </x:c>
      <x:c r="D42" s="22" t="str">
        <x:v>Operations</x:v>
      </x:c>
      <x:c r="E42" s="23" t="n">
        <x:v>1722.04</x:v>
      </x:c>
    </x:row>
    <x:row r="43">
      <x:c r="A43" s="22" t="str">
        <x:v>INV-0038</x:v>
      </x:c>
      <x:c r="B43" s="22" t="str">
        <x:v>2026-09-27</x:v>
      </x:c>
      <x:c r="C43" s="22" t="str">
        <x:v>Birch Office</x:v>
      </x:c>
      <x:c r="D43" s="22" t="str">
        <x:v>IT</x:v>
      </x:c>
      <x:c r="E43" s="23" t="n">
        <x:v>811.71</x:v>
      </x:c>
    </x:row>
    <x:row r="44">
      <x:c r="A44" s="22" t="str">
        <x:v>INV-0039</x:v>
      </x:c>
      <x:c r="B44" s="22" t="str">
        <x:v>2026-09-04</x:v>
      </x:c>
      <x:c r="C44" s="22" t="str">
        <x:v>Cedar Services</x:v>
      </x:c>
      <x:c r="D44" s="22" t="str">
        <x:v>Marketing</x:v>
      </x:c>
      <x:c r="E44" s="23" t="n">
        <x:v>4594.22</x:v>
      </x:c>
    </x:row>
    <x:row r="45">
      <x:c r="A45" s="22" t="str">
        <x:v>INV-0040</x:v>
      </x:c>
      <x:c r="B45" s="22" t="str">
        <x:v>2026-09-11</x:v>
      </x:c>
      <x:c r="C45" s="22" t="str">
        <x:v>Delta Hardware</x:v>
      </x:c>
      <x:c r="D45" s="22" t="str">
        <x:v>Administration</x:v>
      </x:c>
      <x:c r="E45" s="23" t="n">
        <x:v>3276.6</x:v>
      </x:c>
    </x:row>
    <x:row r="46">
      <x:c r="A46" s="22" t="str">
        <x:v>INV-0041</x:v>
      </x:c>
      <x:c r="B46" s="22" t="str">
        <x:v>2026-09-18</x:v>
      </x:c>
      <x:c r="C46" s="22" t="str">
        <x:v>Aspen Supplies</x:v>
      </x:c>
      <x:c r="D46" s="22" t="str">
        <x:v>Operations</x:v>
      </x:c>
      <x:c r="E46" s="23" t="n">
        <x:v>3118.19</x:v>
      </x:c>
    </x:row>
    <x:row r="47">
      <x:c r="A47" s="22" t="str">
        <x:v>INV-0042</x:v>
      </x:c>
      <x:c r="B47" s="22" t="str">
        <x:v>2026-09-25</x:v>
      </x:c>
      <x:c r="C47" s="22" t="str">
        <x:v>Birch Office</x:v>
      </x:c>
      <x:c r="D47" s="22" t="str">
        <x:v>IT</x:v>
      </x:c>
      <x:c r="E47" s="23" t="n">
        <x:v>1637.93</x:v>
      </x:c>
    </x:row>
    <x:row r="48">
      <x:c r="A48" s="22" t="str">
        <x:v>INV-0043</x:v>
      </x:c>
      <x:c r="B48" s="22" t="str">
        <x:v>2026-09-02</x:v>
      </x:c>
      <x:c r="C48" s="22" t="str">
        <x:v>Cedar Services</x:v>
      </x:c>
      <x:c r="D48" s="22" t="str">
        <x:v>Marketing</x:v>
      </x:c>
      <x:c r="E48" s="23" t="n">
        <x:v>1491.78</x:v>
      </x:c>
    </x:row>
    <x:row r="49">
      <x:c r="A49" s="22" t="str">
        <x:v>INV-0044</x:v>
      </x:c>
      <x:c r="B49" s="22" t="str">
        <x:v>2026-09-09</x:v>
      </x:c>
      <x:c r="C49" s="22" t="str">
        <x:v>Delta Hardware</x:v>
      </x:c>
      <x:c r="D49" s="22" t="str">
        <x:v>Administration</x:v>
      </x:c>
      <x:c r="E49" s="23" t="n">
        <x:v>435.5</x:v>
      </x:c>
    </x:row>
    <x:row r="50">
      <x:c r="A50" s="22" t="str">
        <x:v>INV-0045</x:v>
      </x:c>
      <x:c r="B50" s="22" t="str">
        <x:v>2026-09-16</x:v>
      </x:c>
      <x:c r="C50" s="22" t="str">
        <x:v>Aspen Supplies</x:v>
      </x:c>
      <x:c r="D50" s="22" t="str">
        <x:v>Operations</x:v>
      </x:c>
      <x:c r="E50" s="23" t="n">
        <x:v>2348.43</x:v>
      </x:c>
    </x:row>
    <x:row r="51">
      <x:c r="A51" s="22" t="str">
        <x:v>INV-0046</x:v>
      </x:c>
      <x:c r="B51" s="22" t="str">
        <x:v>2026-09-23</x:v>
      </x:c>
      <x:c r="C51" s="22" t="str">
        <x:v>Birch Office</x:v>
      </x:c>
      <x:c r="D51" s="22" t="str">
        <x:v>IT</x:v>
      </x:c>
      <x:c r="E51" s="23" t="n">
        <x:v>6467.78</x:v>
      </x:c>
    </x:row>
    <x:row r="52">
      <x:c r="A52" s="22" t="str">
        <x:v>INV-0047</x:v>
      </x:c>
      <x:c r="B52" s="22" t="str">
        <x:v>2026-09-30</x:v>
      </x:c>
      <x:c r="C52" s="22" t="str">
        <x:v>Cedar Services</x:v>
      </x:c>
      <x:c r="D52" s="22" t="str">
        <x:v>Marketing</x:v>
      </x:c>
      <x:c r="E52" s="23" t="n">
        <x:v>3893.62</x:v>
      </x:c>
    </x:row>
    <x:row r="53">
      <x:c r="A53" s="22" t="str">
        <x:v>INV-0048</x:v>
      </x:c>
      <x:c r="B53" s="22" t="str">
        <x:v>2026-09-07</x:v>
      </x:c>
      <x:c r="C53" s="22" t="str">
        <x:v>Delta Hardware</x:v>
      </x:c>
      <x:c r="D53" s="22" t="str">
        <x:v>Administration</x:v>
      </x:c>
      <x:c r="E53" s="23" t="n">
        <x:v>1685.25</x:v>
      </x:c>
    </x:row>
    <x:row r="54">
      <x:c r="A54" s="22" t="str">
        <x:v>INV-0049</x:v>
      </x:c>
      <x:c r="B54" s="22" t="str">
        <x:v>2026-09-14</x:v>
      </x:c>
      <x:c r="C54" s="22" t="str">
        <x:v>Aspen Supplies</x:v>
      </x:c>
      <x:c r="D54" s="22" t="str">
        <x:v>Operations</x:v>
      </x:c>
      <x:c r="E54" s="23" t="n">
        <x:v>3890.51</x:v>
      </x:c>
    </x:row>
    <x:row r="55">
      <x:c r="A55" s="22" t="str">
        <x:v>INV-0050</x:v>
      </x:c>
      <x:c r="B55" s="22" t="str">
        <x:v>2026-09-21</x:v>
      </x:c>
      <x:c r="C55" s="22" t="str">
        <x:v>Birch Office</x:v>
      </x:c>
      <x:c r="D55" s="22" t="str">
        <x:v>IT</x:v>
      </x:c>
      <x:c r="E55" s="23" t="n">
        <x:v>4667.55</x:v>
      </x:c>
    </x:row>
    <x:row r="56">
      <x:c r="A56" s="22" t="str">
        <x:v>INV-0051</x:v>
      </x:c>
      <x:c r="B56" s="22" t="str">
        <x:v>2026-09-28</x:v>
      </x:c>
      <x:c r="C56" s="22" t="str">
        <x:v>Cedar Services</x:v>
      </x:c>
      <x:c r="D56" s="22" t="str">
        <x:v>Marketing</x:v>
      </x:c>
      <x:c r="E56" s="23" t="n">
        <x:v>6158.5</x:v>
      </x:c>
    </x:row>
    <x:row r="57">
      <x:c r="A57" s="22" t="str">
        <x:v>INV-0052</x:v>
      </x:c>
      <x:c r="B57" s="22" t="str">
        <x:v>2026-09-05</x:v>
      </x:c>
      <x:c r="C57" s="22" t="str">
        <x:v>Delta Hardware</x:v>
      </x:c>
      <x:c r="D57" s="22" t="str">
        <x:v>Administration</x:v>
      </x:c>
      <x:c r="E57" s="23" t="n">
        <x:v>2595.81</x:v>
      </x:c>
    </x:row>
    <x:row r="58">
      <x:c r="A58" s="22" t="str">
        <x:v>INV-0053</x:v>
      </x:c>
      <x:c r="B58" s="22" t="str">
        <x:v>2026-09-12</x:v>
      </x:c>
      <x:c r="C58" s="22" t="str">
        <x:v>Aspen Supplies</x:v>
      </x:c>
      <x:c r="D58" s="22" t="str">
        <x:v>Operations</x:v>
      </x:c>
      <x:c r="E58" s="23" t="n">
        <x:v>4776.04</x:v>
      </x:c>
    </x:row>
    <x:row r="59">
      <x:c r="A59" s="22" t="str">
        <x:v>INV-0054</x:v>
      </x:c>
      <x:c r="B59" s="22" t="str">
        <x:v>2026-09-19</x:v>
      </x:c>
      <x:c r="C59" s="22" t="str">
        <x:v>Birch Office</x:v>
      </x:c>
      <x:c r="D59" s="22" t="str">
        <x:v>IT</x:v>
      </x:c>
      <x:c r="E59" s="23" t="n">
        <x:v>1753.15</x:v>
      </x:c>
    </x:row>
    <x:row r="60">
      <x:c r="A60" s="22" t="str">
        <x:v>INV-0055</x:v>
      </x:c>
      <x:c r="B60" s="22" t="str">
        <x:v>2026-09-26</x:v>
      </x:c>
      <x:c r="C60" s="22" t="str">
        <x:v>Cedar Services</x:v>
      </x:c>
      <x:c r="D60" s="22" t="str">
        <x:v>Marketing</x:v>
      </x:c>
      <x:c r="E60" s="23" t="n">
        <x:v>2145.47</x:v>
      </x:c>
    </x:row>
    <x:row r="61">
      <x:c r="A61" s="22" t="str">
        <x:v>INV-0056</x:v>
      </x:c>
      <x:c r="B61" s="22" t="str">
        <x:v>2026-09-03</x:v>
      </x:c>
      <x:c r="C61" s="22" t="str">
        <x:v>Delta Hardware</x:v>
      </x:c>
      <x:c r="D61" s="22" t="str">
        <x:v>Administration</x:v>
      </x:c>
      <x:c r="E61" s="23" t="n">
        <x:v>3483.96</x:v>
      </x:c>
    </x:row>
    <x:row r="62">
      <x:c r="A62" s="22" t="str">
        <x:v>INV-0057</x:v>
      </x:c>
      <x:c r="B62" s="22" t="str">
        <x:v>2026-09-10</x:v>
      </x:c>
      <x:c r="C62" s="22" t="str">
        <x:v>Aspen Supplies</x:v>
      </x:c>
      <x:c r="D62" s="22" t="str">
        <x:v>Operations</x:v>
      </x:c>
      <x:c r="E62" s="23" t="n">
        <x:v>4345.35</x:v>
      </x:c>
    </x:row>
    <x:row r="63">
      <x:c r="A63" s="22" t="str">
        <x:v>INV-0058</x:v>
      </x:c>
      <x:c r="B63" s="22" t="str">
        <x:v>2026-09-17</x:v>
      </x:c>
      <x:c r="C63" s="22" t="str">
        <x:v>Birch Office</x:v>
      </x:c>
      <x:c r="D63" s="22" t="str">
        <x:v>IT</x:v>
      </x:c>
      <x:c r="E63" s="23" t="n">
        <x:v>5265.54</x:v>
      </x:c>
    </x:row>
    <x:row r="64">
      <x:c r="A64" s="22" t="str">
        <x:v>INV-0059</x:v>
      </x:c>
      <x:c r="B64" s="22" t="str">
        <x:v>2026-09-24</x:v>
      </x:c>
      <x:c r="C64" s="22" t="str">
        <x:v>Cedar Services</x:v>
      </x:c>
      <x:c r="D64" s="22" t="str">
        <x:v>Marketing</x:v>
      </x:c>
      <x:c r="E64" s="23" t="n">
        <x:v>3903.99</x:v>
      </x:c>
    </x:row>
    <x:row r="65">
      <x:c r="A65" s="22" t="str">
        <x:v>INV-0060</x:v>
      </x:c>
      <x:c r="B65" s="22" t="str">
        <x:v>2026-09-01</x:v>
      </x:c>
      <x:c r="C65" s="22" t="str">
        <x:v>Delta Hardware</x:v>
      </x:c>
      <x:c r="D65" s="22" t="str">
        <x:v>Administration</x:v>
      </x:c>
      <x:c r="E65" s="23" t="n">
        <x:v>6152.27</x:v>
      </x:c>
    </x:row>
    <x:row r="66">
      <x:c r="A66" s="22" t="str">
        <x:v>INV-0061</x:v>
      </x:c>
      <x:c r="B66" s="22" t="str">
        <x:v>2026-09-08</x:v>
      </x:c>
      <x:c r="C66" s="22" t="str">
        <x:v>Aspen Supplies</x:v>
      </x:c>
      <x:c r="D66" s="22" t="str">
        <x:v>Operations</x:v>
      </x:c>
      <x:c r="E66" s="23" t="n">
        <x:v>1845.94</x:v>
      </x:c>
    </x:row>
    <x:row r="67">
      <x:c r="A67" s="22" t="str">
        <x:v>INV-0062</x:v>
      </x:c>
      <x:c r="B67" s="22" t="str">
        <x:v>2026-09-15</x:v>
      </x:c>
      <x:c r="C67" s="22" t="str">
        <x:v>Birch Office</x:v>
      </x:c>
      <x:c r="D67" s="22" t="str">
        <x:v>IT</x:v>
      </x:c>
      <x:c r="E67" s="23" t="n">
        <x:v>5771.41</x:v>
      </x:c>
    </x:row>
    <x:row r="68">
      <x:c r="A68" s="22" t="str">
        <x:v>INV-0063</x:v>
      </x:c>
      <x:c r="B68" s="22" t="str">
        <x:v>2026-09-22</x:v>
      </x:c>
      <x:c r="C68" s="22" t="str">
        <x:v>Cedar Services</x:v>
      </x:c>
      <x:c r="D68" s="22" t="str">
        <x:v>Marketing</x:v>
      </x:c>
      <x:c r="E68" s="23" t="n">
        <x:v>6093.26</x:v>
      </x:c>
    </x:row>
    <x:row r="69">
      <x:c r="A69" s="22" t="str">
        <x:v>INV-0064</x:v>
      </x:c>
      <x:c r="B69" s="22" t="str">
        <x:v>2026-09-29</x:v>
      </x:c>
      <x:c r="C69" s="22" t="str">
        <x:v>Delta Hardware</x:v>
      </x:c>
      <x:c r="D69" s="22" t="str">
        <x:v>Administration</x:v>
      </x:c>
      <x:c r="E69" s="23" t="n">
        <x:v>2034.81</x:v>
      </x:c>
    </x:row>
    <x:row r="70">
      <x:c r="A70" s="22" t="str">
        <x:v>INV-0065</x:v>
      </x:c>
      <x:c r="B70" s="22" t="str">
        <x:v>2026-09-06</x:v>
      </x:c>
      <x:c r="C70" s="22" t="str">
        <x:v>Aspen Supplies</x:v>
      </x:c>
      <x:c r="D70" s="22" t="str">
        <x:v>Operations</x:v>
      </x:c>
      <x:c r="E70" s="23" t="n">
        <x:v>6166.1</x:v>
      </x:c>
    </x:row>
    <x:row r="71">
      <x:c r="A71" s="22" t="str">
        <x:v>INV-0066</x:v>
      </x:c>
      <x:c r="B71" s="22" t="str">
        <x:v>2026-09-13</x:v>
      </x:c>
      <x:c r="C71" s="22" t="str">
        <x:v>Birch Office</x:v>
      </x:c>
      <x:c r="D71" s="22" t="str">
        <x:v>IT</x:v>
      </x:c>
      <x:c r="E71" s="23" t="n">
        <x:v>3253.89</x:v>
      </x:c>
    </x:row>
    <x:row r="72">
      <x:c r="A72" s="22" t="str">
        <x:v>INV-0067</x:v>
      </x:c>
      <x:c r="B72" s="22" t="str">
        <x:v>2026-09-20</x:v>
      </x:c>
      <x:c r="C72" s="22" t="str">
        <x:v>Cedar Services</x:v>
      </x:c>
      <x:c r="D72" s="22" t="str">
        <x:v>Marketing</x:v>
      </x:c>
      <x:c r="E72" s="23" t="n">
        <x:v>749.72</x:v>
      </x:c>
    </x:row>
    <x:row r="73">
      <x:c r="A73" s="22" t="str">
        <x:v>INV-0068</x:v>
      </x:c>
      <x:c r="B73" s="22" t="str">
        <x:v>2026-09-27</x:v>
      </x:c>
      <x:c r="C73" s="22" t="str">
        <x:v>Delta Hardware</x:v>
      </x:c>
      <x:c r="D73" s="22" t="str">
        <x:v>Administration</x:v>
      </x:c>
      <x:c r="E73" s="23" t="n">
        <x:v>4141.09</x:v>
      </x:c>
    </x:row>
    <x:row r="74">
      <x:c r="A74" s="22" t="str">
        <x:v>INV-0069</x:v>
      </x:c>
      <x:c r="B74" s="22" t="str">
        <x:v>2026-09-04</x:v>
      </x:c>
      <x:c r="C74" s="22" t="str">
        <x:v>Aspen Supplies</x:v>
      </x:c>
      <x:c r="D74" s="22" t="str">
        <x:v>Operations</x:v>
      </x:c>
      <x:c r="E74" s="23" t="n">
        <x:v>2049.26</x:v>
      </x:c>
    </x:row>
    <x:row r="75">
      <x:c r="A75" s="22" t="str">
        <x:v>INV-0070</x:v>
      </x:c>
      <x:c r="B75" s="22" t="str">
        <x:v>2026-09-11</x:v>
      </x:c>
      <x:c r="C75" s="22" t="str">
        <x:v>Birch Office</x:v>
      </x:c>
      <x:c r="D75" s="22" t="str">
        <x:v>IT</x:v>
      </x:c>
      <x:c r="E75" s="23" t="n">
        <x:v>4643.46</x:v>
      </x:c>
    </x:row>
    <x:row r="76">
      <x:c r="A76" s="22" t="str">
        <x:v>INV-0071</x:v>
      </x:c>
      <x:c r="B76" s="22" t="str">
        <x:v>2026-09-18</x:v>
      </x:c>
      <x:c r="C76" s="22" t="str">
        <x:v>Cedar Services</x:v>
      </x:c>
      <x:c r="D76" s="22" t="str">
        <x:v>Marketing</x:v>
      </x:c>
      <x:c r="E76" s="23" t="n">
        <x:v>5321.99</x:v>
      </x:c>
    </x:row>
    <x:row r="77">
      <x:c r="A77" s="22" t="str">
        <x:v>INV-0072</x:v>
      </x:c>
      <x:c r="B77" s="22" t="str">
        <x:v>2026-09-25</x:v>
      </x:c>
      <x:c r="C77" s="22" t="str">
        <x:v>Delta Hardware</x:v>
      </x:c>
      <x:c r="D77" s="22" t="str">
        <x:v>Administration</x:v>
      </x:c>
      <x:c r="E77" s="23" t="n">
        <x:v>2217.11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3" hidden="0" customWidth="1"/>
    <x:col min="5" max="5" width="24" hidden="0" customWidth="1"/>
  </x:cols>
  <x:sheetData>
    <x:row r="1" ht="25" customHeight="1">
      <x:c r="A1" s="3" t="str">
        <x:v>General Ledger · 100% Synthetic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>
      <x:c r="A3" s="12" t="str">
        <x:v>Invented ledger entries (73 rows), including planted anomalies</x:v>
      </x:c>
      <x:c r="B3" s="12"/>
      <x:c r="C3" s="12"/>
      <x:c r="D3" s="12"/>
      <x:c r="E3" s="12"/>
      <x:c r="F3" s="12"/>
      <x:c r="G3" s="12"/>
      <x:c r="H3" s="12"/>
    </x:row>
    <x:row r="5" ht="30" customHeight="1">
      <x:c r="A5" s="16" t="str">
        <x:v>entry_id</x:v>
      </x:c>
      <x:c r="B5" s="16" t="str">
        <x:v>invoice_id</x:v>
      </x:c>
      <x:c r="C5" s="16" t="str">
        <x:v>posting_date</x:v>
      </x:c>
      <x:c r="D5" s="16" t="str">
        <x:v>department</x:v>
      </x:c>
      <x:c r="E5" s="16" t="str">
        <x:v>posted_amount_usd</x:v>
      </x:c>
    </x:row>
    <x:row r="6">
      <x:c r="A6" s="22" t="str">
        <x:v>GL-0001</x:v>
      </x:c>
      <x:c r="B6" s="22" t="str">
        <x:v>INV-0001</x:v>
      </x:c>
      <x:c r="C6" s="22" t="str">
        <x:v>2026-09-08</x:v>
      </x:c>
      <x:c r="D6" s="22" t="str">
        <x:v>Operations</x:v>
      </x:c>
      <x:c r="E6" s="23" t="n">
        <x:v>3879.18</x:v>
      </x:c>
    </x:row>
    <x:row r="7">
      <x:c r="A7" s="22" t="str">
        <x:v>GL-0002</x:v>
      </x:c>
      <x:c r="B7" s="22" t="str">
        <x:v>INV-0002</x:v>
      </x:c>
      <x:c r="C7" s="22" t="str">
        <x:v>2026-09-15</x:v>
      </x:c>
      <x:c r="D7" s="22" t="str">
        <x:v>IT</x:v>
      </x:c>
      <x:c r="E7" s="23" t="n">
        <x:v>6270.51</x:v>
      </x:c>
    </x:row>
    <x:row r="8">
      <x:c r="A8" s="22" t="str">
        <x:v>GL-0003</x:v>
      </x:c>
      <x:c r="B8" s="22" t="str">
        <x:v>INV-0003</x:v>
      </x:c>
      <x:c r="C8" s="22" t="str">
        <x:v>2026-09-22</x:v>
      </x:c>
      <x:c r="D8" s="22" t="str">
        <x:v>Marketing</x:v>
      </x:c>
      <x:c r="E8" s="23" t="n">
        <x:v>6201.03</x:v>
      </x:c>
    </x:row>
    <x:row r="9">
      <x:c r="A9" s="22" t="str">
        <x:v>GL-0004</x:v>
      </x:c>
      <x:c r="B9" s="22" t="str">
        <x:v>INV-0004</x:v>
      </x:c>
      <x:c r="C9" s="22" t="str">
        <x:v>2026-09-29</x:v>
      </x:c>
      <x:c r="D9" s="22" t="str">
        <x:v>Administration</x:v>
      </x:c>
      <x:c r="E9" s="23" t="n">
        <x:v>1476.15</x:v>
      </x:c>
    </x:row>
    <x:row r="10">
      <x:c r="A10" s="22" t="str">
        <x:v>GL-0005</x:v>
      </x:c>
      <x:c r="B10" s="22" t="str">
        <x:v>INV-0005</x:v>
      </x:c>
      <x:c r="C10" s="22" t="str">
        <x:v>2026-09-06</x:v>
      </x:c>
      <x:c r="D10" s="22" t="str">
        <x:v>Operations</x:v>
      </x:c>
      <x:c r="E10" s="23" t="n">
        <x:v>3562.92</x:v>
      </x:c>
    </x:row>
    <x:row r="11">
      <x:c r="A11" s="22" t="str">
        <x:v>GL-0006</x:v>
      </x:c>
      <x:c r="B11" s="22" t="str">
        <x:v>INV-0006</x:v>
      </x:c>
      <x:c r="C11" s="22" t="str">
        <x:v>2026-09-13</x:v>
      </x:c>
      <x:c r="D11" s="22" t="str">
        <x:v>IT</x:v>
      </x:c>
      <x:c r="E11" s="23" t="n">
        <x:v>1825.92</x:v>
      </x:c>
    </x:row>
    <x:row r="12">
      <x:c r="A12" s="22" t="str">
        <x:v>GL-0007</x:v>
      </x:c>
      <x:c r="B12" s="22" t="str">
        <x:v>INV-0007</x:v>
      </x:c>
      <x:c r="C12" s="22" t="str">
        <x:v>2026-09-20</x:v>
      </x:c>
      <x:c r="D12" s="22" t="str">
        <x:v>Marketing</x:v>
      </x:c>
      <x:c r="E12" s="23" t="n">
        <x:v>301.52</x:v>
      </x:c>
    </x:row>
    <x:row r="13">
      <x:c r="A13" s="22" t="str">
        <x:v>GL-0008</x:v>
      </x:c>
      <x:c r="B13" s="22" t="str">
        <x:v>INV-0008</x:v>
      </x:c>
      <x:c r="C13" s="22" t="str">
        <x:v>2026-09-27</x:v>
      </x:c>
      <x:c r="D13" s="22" t="str">
        <x:v>Administration</x:v>
      </x:c>
      <x:c r="E13" s="23" t="n">
        <x:v>1003.37</x:v>
      </x:c>
    </x:row>
    <x:row r="14">
      <x:c r="A14" s="22" t="str">
        <x:v>GL-0009</x:v>
      </x:c>
      <x:c r="B14" s="22" t="str">
        <x:v>INV-0009</x:v>
      </x:c>
      <x:c r="C14" s="22" t="str">
        <x:v>2026-09-04</x:v>
      </x:c>
      <x:c r="D14" s="22" t="str">
        <x:v>Operations</x:v>
      </x:c>
      <x:c r="E14" s="23" t="n">
        <x:v>4752.04</x:v>
      </x:c>
    </x:row>
    <x:row r="15">
      <x:c r="A15" s="22" t="str">
        <x:v>GL-0010</x:v>
      </x:c>
      <x:c r="B15" s="22" t="str">
        <x:v>INV-0010</x:v>
      </x:c>
      <x:c r="C15" s="22" t="str">
        <x:v>2026-09-11</x:v>
      </x:c>
      <x:c r="D15" s="22" t="str">
        <x:v>IT</x:v>
      </x:c>
      <x:c r="E15" s="23" t="n">
        <x:v>1999.73</x:v>
      </x:c>
    </x:row>
    <x:row r="16">
      <x:c r="A16" s="22" t="str">
        <x:v>GL-0012</x:v>
      </x:c>
      <x:c r="B16" s="22" t="str">
        <x:v>INV-0012</x:v>
      </x:c>
      <x:c r="C16" s="22" t="str">
        <x:v>2026-09-25</x:v>
      </x:c>
      <x:c r="D16" s="22" t="str">
        <x:v>Administration</x:v>
      </x:c>
      <x:c r="E16" s="23" t="n">
        <x:v>1854.84</x:v>
      </x:c>
    </x:row>
    <x:row r="17">
      <x:c r="A17" s="22" t="str">
        <x:v>GL-0013</x:v>
      </x:c>
      <x:c r="B17" s="22" t="str">
        <x:v>INV-0013</x:v>
      </x:c>
      <x:c r="C17" s="22" t="str">
        <x:v>2026-09-02</x:v>
      </x:c>
      <x:c r="D17" s="22" t="str">
        <x:v>Operations</x:v>
      </x:c>
      <x:c r="E17" s="23" t="n">
        <x:v>2138.31</x:v>
      </x:c>
    </x:row>
    <x:row r="18">
      <x:c r="A18" s="22" t="str">
        <x:v>GL-0014</x:v>
      </x:c>
      <x:c r="B18" s="22" t="str">
        <x:v>INV-0014</x:v>
      </x:c>
      <x:c r="C18" s="22" t="str">
        <x:v>2026-09-09</x:v>
      </x:c>
      <x:c r="D18" s="22" t="str">
        <x:v>IT</x:v>
      </x:c>
      <x:c r="E18" s="23" t="n">
        <x:v>627.51</x:v>
      </x:c>
    </x:row>
    <x:row r="19">
      <x:c r="A19" s="22" t="str">
        <x:v>GL-0015</x:v>
      </x:c>
      <x:c r="B19" s="22" t="str">
        <x:v>INV-0015</x:v>
      </x:c>
      <x:c r="C19" s="22" t="str">
        <x:v>2026-09-16</x:v>
      </x:c>
      <x:c r="D19" s="22" t="str">
        <x:v>Marketing</x:v>
      </x:c>
      <x:c r="E19" s="23" t="n">
        <x:v>4223.82</x:v>
      </x:c>
    </x:row>
    <x:row r="20">
      <x:c r="A20" s="22" t="str">
        <x:v>GL-0016</x:v>
      </x:c>
      <x:c r="B20" s="22" t="str">
        <x:v>INV-0016</x:v>
      </x:c>
      <x:c r="C20" s="22" t="str">
        <x:v>2026-09-23</x:v>
      </x:c>
      <x:c r="D20" s="22" t="str">
        <x:v>Administration</x:v>
      </x:c>
      <x:c r="E20" s="23" t="n">
        <x:v>1589.45</x:v>
      </x:c>
    </x:row>
    <x:row r="21">
      <x:c r="A21" s="22" t="str">
        <x:v>GL-0017</x:v>
      </x:c>
      <x:c r="B21" s="22" t="str">
        <x:v>INV-0017</x:v>
      </x:c>
      <x:c r="C21" s="22" t="str">
        <x:v>2026-09-30</x:v>
      </x:c>
      <x:c r="D21" s="22" t="str">
        <x:v>Operations</x:v>
      </x:c>
      <x:c r="E21" s="23" t="n">
        <x:v>637.01</x:v>
      </x:c>
    </x:row>
    <x:row r="22">
      <x:c r="A22" s="22" t="str">
        <x:v>GL-0018</x:v>
      </x:c>
      <x:c r="B22" s="22" t="str">
        <x:v>INV-0018</x:v>
      </x:c>
      <x:c r="C22" s="22" t="str">
        <x:v>2026-09-07</x:v>
      </x:c>
      <x:c r="D22" s="22" t="str">
        <x:v>IT</x:v>
      </x:c>
      <x:c r="E22" s="23" t="n">
        <x:v>2695.48</x:v>
      </x:c>
    </x:row>
    <x:row r="23">
      <x:c r="A23" s="22" t="str">
        <x:v>GL-0019</x:v>
      </x:c>
      <x:c r="B23" s="22" t="str">
        <x:v>INV-0019</x:v>
      </x:c>
      <x:c r="C23" s="22" t="str">
        <x:v>2026-09-14</x:v>
      </x:c>
      <x:c r="D23" s="22" t="str">
        <x:v>Marketing</x:v>
      </x:c>
      <x:c r="E23" s="23" t="n">
        <x:v>5512.55</x:v>
      </x:c>
    </x:row>
    <x:row r="24">
      <x:c r="A24" s="22" t="str">
        <x:v>GL-0020</x:v>
      </x:c>
      <x:c r="B24" s="22" t="str">
        <x:v>INV-0020</x:v>
      </x:c>
      <x:c r="C24" s="22" t="str">
        <x:v>2026-09-21</x:v>
      </x:c>
      <x:c r="D24" s="22" t="str">
        <x:v>Administration</x:v>
      </x:c>
      <x:c r="E24" s="23" t="n">
        <x:v>374.52</x:v>
      </x:c>
    </x:row>
    <x:row r="25">
      <x:c r="A25" s="22" t="str">
        <x:v>GL-0021</x:v>
      </x:c>
      <x:c r="B25" s="22" t="str">
        <x:v>INV-0021</x:v>
      </x:c>
      <x:c r="C25" s="22" t="str">
        <x:v>2026-09-28</x:v>
      </x:c>
      <x:c r="D25" s="22" t="str">
        <x:v>Operations</x:v>
      </x:c>
      <x:c r="E25" s="23" t="n">
        <x:v>3657.42</x:v>
      </x:c>
    </x:row>
    <x:row r="26">
      <x:c r="A26" s="22" t="str">
        <x:v>GL-0022</x:v>
      </x:c>
      <x:c r="B26" s="22" t="str">
        <x:v>INV-0022</x:v>
      </x:c>
      <x:c r="C26" s="22" t="str">
        <x:v>2026-09-05</x:v>
      </x:c>
      <x:c r="D26" s="22" t="str">
        <x:v>IT</x:v>
      </x:c>
      <x:c r="E26" s="23" t="n">
        <x:v>4364.39</x:v>
      </x:c>
    </x:row>
    <x:row r="27">
      <x:c r="A27" s="22" t="str">
        <x:v>GL-0023</x:v>
      </x:c>
      <x:c r="B27" s="22" t="str">
        <x:v>INV-0023</x:v>
      </x:c>
      <x:c r="C27" s="22" t="str">
        <x:v>2026-09-12</x:v>
      </x:c>
      <x:c r="D27" s="22" t="str">
        <x:v>Marketing</x:v>
      </x:c>
      <x:c r="E27" s="23" t="n">
        <x:v>2265.34</x:v>
      </x:c>
    </x:row>
    <x:row r="28">
      <x:c r="A28" s="22" t="str">
        <x:v>GL-0024</x:v>
      </x:c>
      <x:c r="B28" s="22" t="str">
        <x:v>INV-0024</x:v>
      </x:c>
      <x:c r="C28" s="22" t="str">
        <x:v>2026-09-19</x:v>
      </x:c>
      <x:c r="D28" s="22" t="str">
        <x:v>Administration</x:v>
      </x:c>
      <x:c r="E28" s="23" t="n">
        <x:v>5319.75</x:v>
      </x:c>
    </x:row>
    <x:row r="29">
      <x:c r="A29" s="22" t="str">
        <x:v>GL-0025</x:v>
      </x:c>
      <x:c r="B29" s="22" t="str">
        <x:v>INV-0025</x:v>
      </x:c>
      <x:c r="C29" s="22" t="str">
        <x:v>2026-09-26</x:v>
      </x:c>
      <x:c r="D29" s="22" t="str">
        <x:v>Operations</x:v>
      </x:c>
      <x:c r="E29" s="23" t="n">
        <x:v>3782.42</x:v>
      </x:c>
    </x:row>
    <x:row r="30">
      <x:c r="A30" s="22" t="str">
        <x:v>GL-0026</x:v>
      </x:c>
      <x:c r="B30" s="22" t="str">
        <x:v>INV-0026</x:v>
      </x:c>
      <x:c r="C30" s="22" t="str">
        <x:v>2026-09-03</x:v>
      </x:c>
      <x:c r="D30" s="22" t="str">
        <x:v>IT</x:v>
      </x:c>
      <x:c r="E30" s="23" t="n">
        <x:v>5914.25</x:v>
      </x:c>
    </x:row>
    <x:row r="31">
      <x:c r="A31" s="22" t="str">
        <x:v>GL-0027</x:v>
      </x:c>
      <x:c r="B31" s="22" t="str">
        <x:v>INV-0027</x:v>
      </x:c>
      <x:c r="C31" s="22" t="str">
        <x:v>2026-09-10</x:v>
      </x:c>
      <x:c r="D31" s="22" t="str">
        <x:v>Marketing</x:v>
      </x:c>
      <x:c r="E31" s="23" t="n">
        <x:v>2469.42</x:v>
      </x:c>
    </x:row>
    <x:row r="32">
      <x:c r="A32" s="22" t="str">
        <x:v>GL-0028</x:v>
      </x:c>
      <x:c r="B32" s="22" t="str">
        <x:v>INV-0028</x:v>
      </x:c>
      <x:c r="C32" s="22" t="str">
        <x:v>2026-09-17</x:v>
      </x:c>
      <x:c r="D32" s="22" t="str">
        <x:v>Administration</x:v>
      </x:c>
      <x:c r="E32" s="23" t="n">
        <x:v>366.36</x:v>
      </x:c>
    </x:row>
    <x:row r="33">
      <x:c r="A33" s="22" t="str">
        <x:v>GL-0029</x:v>
      </x:c>
      <x:c r="B33" s="22" t="str">
        <x:v>INV-0029</x:v>
      </x:c>
      <x:c r="C33" s="22" t="str">
        <x:v>2026-09-24</x:v>
      </x:c>
      <x:c r="D33" s="22" t="str">
        <x:v>Operations</x:v>
      </x:c>
      <x:c r="E33" s="23" t="n">
        <x:v>3844.08</x:v>
      </x:c>
    </x:row>
    <x:row r="34">
      <x:c r="A34" s="22" t="str">
        <x:v>GL-0030</x:v>
      </x:c>
      <x:c r="B34" s="22" t="str">
        <x:v>INV-0030</x:v>
      </x:c>
      <x:c r="C34" s="22" t="str">
        <x:v>2026-09-01</x:v>
      </x:c>
      <x:c r="D34" s="22" t="str">
        <x:v>IT</x:v>
      </x:c>
      <x:c r="E34" s="23" t="n">
        <x:v>125.02</x:v>
      </x:c>
    </x:row>
    <x:row r="35">
      <x:c r="A35" s="22" t="str">
        <x:v>GL-0031</x:v>
      </x:c>
      <x:c r="B35" s="22" t="str">
        <x:v>INV-0031</x:v>
      </x:c>
      <x:c r="C35" s="22" t="str">
        <x:v>2026-09-08</x:v>
      </x:c>
      <x:c r="D35" s="22" t="str">
        <x:v>Marketing</x:v>
      </x:c>
      <x:c r="E35" s="23" t="n">
        <x:v>4704.92</x:v>
      </x:c>
    </x:row>
    <x:row r="36">
      <x:c r="A36" s="22" t="str">
        <x:v>GL-0032</x:v>
      </x:c>
      <x:c r="B36" s="22" t="str">
        <x:v>INV-0032</x:v>
      </x:c>
      <x:c r="C36" s="22" t="str">
        <x:v>2026-09-15</x:v>
      </x:c>
      <x:c r="D36" s="22" t="str">
        <x:v>Administration</x:v>
      </x:c>
      <x:c r="E36" s="23" t="n">
        <x:v>5646.36</x:v>
      </x:c>
    </x:row>
    <x:row r="37">
      <x:c r="A37" s="22" t="str">
        <x:v>GL-0033</x:v>
      </x:c>
      <x:c r="B37" s="22" t="str">
        <x:v>INV-0033</x:v>
      </x:c>
      <x:c r="C37" s="22" t="str">
        <x:v>2026-09-22</x:v>
      </x:c>
      <x:c r="D37" s="22" t="str">
        <x:v>Operations</x:v>
      </x:c>
      <x:c r="E37" s="23" t="n">
        <x:v>2148.37</x:v>
      </x:c>
    </x:row>
    <x:row r="38">
      <x:c r="A38" s="22" t="str">
        <x:v>GL-0034</x:v>
      </x:c>
      <x:c r="B38" s="22" t="str">
        <x:v>INV-0034</x:v>
      </x:c>
      <x:c r="C38" s="22" t="str">
        <x:v>2026-09-29</x:v>
      </x:c>
      <x:c r="D38" s="22" t="str">
        <x:v>IT</x:v>
      </x:c>
      <x:c r="E38" s="23" t="n">
        <x:v>3815.76</x:v>
      </x:c>
    </x:row>
    <x:row r="39">
      <x:c r="A39" s="22" t="str">
        <x:v>GL-0035</x:v>
      </x:c>
      <x:c r="B39" s="22" t="str">
        <x:v>INV-0035</x:v>
      </x:c>
      <x:c r="C39" s="22" t="str">
        <x:v>2026-09-06</x:v>
      </x:c>
      <x:c r="D39" s="22" t="str">
        <x:v>Marketing</x:v>
      </x:c>
      <x:c r="E39" s="23" t="n">
        <x:v>1824.39</x:v>
      </x:c>
    </x:row>
    <x:row r="40">
      <x:c r="A40" s="22" t="str">
        <x:v>GL-0036</x:v>
      </x:c>
      <x:c r="B40" s="22" t="str">
        <x:v>INV-0036</x:v>
      </x:c>
      <x:c r="C40" s="22" t="str">
        <x:v>2026-09-13</x:v>
      </x:c>
      <x:c r="D40" s="22" t="str">
        <x:v>Administration</x:v>
      </x:c>
      <x:c r="E40" s="23" t="n">
        <x:v>2060.17</x:v>
      </x:c>
    </x:row>
    <x:row r="41">
      <x:c r="A41" s="22" t="str">
        <x:v>GL-0037</x:v>
      </x:c>
      <x:c r="B41" s="22" t="str">
        <x:v>INV-0037</x:v>
      </x:c>
      <x:c r="C41" s="22" t="str">
        <x:v>2026-09-20</x:v>
      </x:c>
      <x:c r="D41" s="22" t="str">
        <x:v>Operations</x:v>
      </x:c>
      <x:c r="E41" s="23" t="n">
        <x:v>1722.04</x:v>
      </x:c>
    </x:row>
    <x:row r="42">
      <x:c r="A42" s="22" t="str">
        <x:v>GL-0038</x:v>
      </x:c>
      <x:c r="B42" s="22" t="str">
        <x:v>INV-0038</x:v>
      </x:c>
      <x:c r="C42" s="22" t="str">
        <x:v>2026-09-27</x:v>
      </x:c>
      <x:c r="D42" s="22" t="str">
        <x:v>IT</x:v>
      </x:c>
      <x:c r="E42" s="23" t="n">
        <x:v>811.71</x:v>
      </x:c>
    </x:row>
    <x:row r="43">
      <x:c r="A43" s="22" t="str">
        <x:v>GL-0039</x:v>
      </x:c>
      <x:c r="B43" s="22" t="str">
        <x:v>INV-0039</x:v>
      </x:c>
      <x:c r="C43" s="22" t="str">
        <x:v>2026-09-04</x:v>
      </x:c>
      <x:c r="D43" s="22" t="str">
        <x:v>Marketing</x:v>
      </x:c>
      <x:c r="E43" s="23" t="n">
        <x:v>4594.22</x:v>
      </x:c>
    </x:row>
    <x:row r="44">
      <x:c r="A44" s="22" t="str">
        <x:v>GL-0040</x:v>
      </x:c>
      <x:c r="B44" s="22" t="str">
        <x:v>INV-0040</x:v>
      </x:c>
      <x:c r="C44" s="22" t="str">
        <x:v>2026-09-11</x:v>
      </x:c>
      <x:c r="D44" s="22" t="str">
        <x:v>Administration</x:v>
      </x:c>
      <x:c r="E44" s="23" t="n">
        <x:v>3276.6</x:v>
      </x:c>
    </x:row>
    <x:row r="45">
      <x:c r="A45" s="22" t="str">
        <x:v>GL-0041</x:v>
      </x:c>
      <x:c r="B45" s="22" t="str">
        <x:v>INV-0041</x:v>
      </x:c>
      <x:c r="C45" s="22" t="str">
        <x:v>2026-09-18</x:v>
      </x:c>
      <x:c r="D45" s="22" t="str">
        <x:v>Operations</x:v>
      </x:c>
      <x:c r="E45" s="23" t="n">
        <x:v>3118.19</x:v>
      </x:c>
    </x:row>
    <x:row r="46">
      <x:c r="A46" s="22" t="str">
        <x:v>GL-0042</x:v>
      </x:c>
      <x:c r="B46" s="22" t="str">
        <x:v>INV-0042</x:v>
      </x:c>
      <x:c r="C46" s="22" t="str">
        <x:v>2026-09-25</x:v>
      </x:c>
      <x:c r="D46" s="22" t="str">
        <x:v>IT</x:v>
      </x:c>
      <x:c r="E46" s="23" t="n">
        <x:v>1637.93</x:v>
      </x:c>
    </x:row>
    <x:row r="47">
      <x:c r="A47" s="22" t="str">
        <x:v>GL-0043</x:v>
      </x:c>
      <x:c r="B47" s="22" t="str">
        <x:v>INV-0043</x:v>
      </x:c>
      <x:c r="C47" s="22" t="str">
        <x:v>2026-09-02</x:v>
      </x:c>
      <x:c r="D47" s="22" t="str">
        <x:v>Marketing</x:v>
      </x:c>
      <x:c r="E47" s="23" t="n">
        <x:v>1491.78</x:v>
      </x:c>
    </x:row>
    <x:row r="48">
      <x:c r="A48" s="22" t="str">
        <x:v>GL-0045</x:v>
      </x:c>
      <x:c r="B48" s="22" t="str">
        <x:v>INV-0045</x:v>
      </x:c>
      <x:c r="C48" s="22" t="str">
        <x:v>2026-09-16</x:v>
      </x:c>
      <x:c r="D48" s="22" t="str">
        <x:v>Operations</x:v>
      </x:c>
      <x:c r="E48" s="23" t="n">
        <x:v>2348.43</x:v>
      </x:c>
    </x:row>
    <x:row r="49">
      <x:c r="A49" s="22" t="str">
        <x:v>GL-0046</x:v>
      </x:c>
      <x:c r="B49" s="22" t="str">
        <x:v>INV-0046</x:v>
      </x:c>
      <x:c r="C49" s="22" t="str">
        <x:v>2026-09-23</x:v>
      </x:c>
      <x:c r="D49" s="22" t="str">
        <x:v>IT</x:v>
      </x:c>
      <x:c r="E49" s="23" t="n">
        <x:v>6467.78</x:v>
      </x:c>
    </x:row>
    <x:row r="50">
      <x:c r="A50" s="22" t="str">
        <x:v>GL-0047</x:v>
      </x:c>
      <x:c r="B50" s="22" t="str">
        <x:v>INV-0047</x:v>
      </x:c>
      <x:c r="C50" s="22" t="str">
        <x:v>2026-09-30</x:v>
      </x:c>
      <x:c r="D50" s="22" t="str">
        <x:v>Marketing</x:v>
      </x:c>
      <x:c r="E50" s="23" t="n">
        <x:v>3893.62</x:v>
      </x:c>
    </x:row>
    <x:row r="51">
      <x:c r="A51" s="22" t="str">
        <x:v>GL-0048</x:v>
      </x:c>
      <x:c r="B51" s="22" t="str">
        <x:v>INV-0048</x:v>
      </x:c>
      <x:c r="C51" s="22" t="str">
        <x:v>2026-09-07</x:v>
      </x:c>
      <x:c r="D51" s="22" t="str">
        <x:v>Administration</x:v>
      </x:c>
      <x:c r="E51" s="23" t="n">
        <x:v>1685.25</x:v>
      </x:c>
    </x:row>
    <x:row r="52">
      <x:c r="A52" s="22" t="str">
        <x:v>GL-0049</x:v>
      </x:c>
      <x:c r="B52" s="22" t="str">
        <x:v>INV-0049</x:v>
      </x:c>
      <x:c r="C52" s="22" t="str">
        <x:v>2026-09-14</x:v>
      </x:c>
      <x:c r="D52" s="22" t="str">
        <x:v>Operations</x:v>
      </x:c>
      <x:c r="E52" s="23" t="n">
        <x:v>3890.51</x:v>
      </x:c>
    </x:row>
    <x:row r="53">
      <x:c r="A53" s="22" t="str">
        <x:v>GL-0050</x:v>
      </x:c>
      <x:c r="B53" s="22" t="str">
        <x:v>INV-0050</x:v>
      </x:c>
      <x:c r="C53" s="22" t="str">
        <x:v>2026-09-21</x:v>
      </x:c>
      <x:c r="D53" s="22" t="str">
        <x:v>IT</x:v>
      </x:c>
      <x:c r="E53" s="23" t="n">
        <x:v>4667.55</x:v>
      </x:c>
    </x:row>
    <x:row r="54">
      <x:c r="A54" s="22" t="str">
        <x:v>GL-0051</x:v>
      </x:c>
      <x:c r="B54" s="22" t="str">
        <x:v>INV-0051</x:v>
      </x:c>
      <x:c r="C54" s="22" t="str">
        <x:v>2026-09-28</x:v>
      </x:c>
      <x:c r="D54" s="22" t="str">
        <x:v>Marketing</x:v>
      </x:c>
      <x:c r="E54" s="23" t="n">
        <x:v>6158.5</x:v>
      </x:c>
    </x:row>
    <x:row r="55">
      <x:c r="A55" s="22" t="str">
        <x:v>GL-0052</x:v>
      </x:c>
      <x:c r="B55" s="22" t="str">
        <x:v>INV-0052</x:v>
      </x:c>
      <x:c r="C55" s="22" t="str">
        <x:v>2026-09-05</x:v>
      </x:c>
      <x:c r="D55" s="22" t="str">
        <x:v>Administration</x:v>
      </x:c>
      <x:c r="E55" s="23" t="n">
        <x:v>2595.81</x:v>
      </x:c>
    </x:row>
    <x:row r="56">
      <x:c r="A56" s="22" t="str">
        <x:v>GL-0053</x:v>
      </x:c>
      <x:c r="B56" s="22" t="str">
        <x:v>INV-0053</x:v>
      </x:c>
      <x:c r="C56" s="22" t="str">
        <x:v>2026-09-12</x:v>
      </x:c>
      <x:c r="D56" s="22" t="str">
        <x:v>Operations</x:v>
      </x:c>
      <x:c r="E56" s="23" t="n">
        <x:v>4776.04</x:v>
      </x:c>
    </x:row>
    <x:row r="57">
      <x:c r="A57" s="22" t="str">
        <x:v>GL-0054</x:v>
      </x:c>
      <x:c r="B57" s="22" t="str">
        <x:v>INV-0054</x:v>
      </x:c>
      <x:c r="C57" s="22" t="str">
        <x:v>2026-09-19</x:v>
      </x:c>
      <x:c r="D57" s="22" t="str">
        <x:v>IT</x:v>
      </x:c>
      <x:c r="E57" s="23" t="n">
        <x:v>1753.15</x:v>
      </x:c>
    </x:row>
    <x:row r="58">
      <x:c r="A58" s="22" t="str">
        <x:v>GL-0055</x:v>
      </x:c>
      <x:c r="B58" s="22" t="str">
        <x:v>INV-0055</x:v>
      </x:c>
      <x:c r="C58" s="22" t="str">
        <x:v>2026-09-26</x:v>
      </x:c>
      <x:c r="D58" s="22" t="str">
        <x:v>Operations</x:v>
      </x:c>
      <x:c r="E58" s="23" t="n">
        <x:v>2145.47</x:v>
      </x:c>
    </x:row>
    <x:row r="59">
      <x:c r="A59" s="22" t="str">
        <x:v>GL-0056</x:v>
      </x:c>
      <x:c r="B59" s="22" t="str">
        <x:v>INV-0056</x:v>
      </x:c>
      <x:c r="C59" s="22" t="str">
        <x:v>2026-09-03</x:v>
      </x:c>
      <x:c r="D59" s="22" t="str">
        <x:v>Administration</x:v>
      </x:c>
      <x:c r="E59" s="23" t="n">
        <x:v>3483.96</x:v>
      </x:c>
    </x:row>
    <x:row r="60">
      <x:c r="A60" s="22" t="str">
        <x:v>GL-0057</x:v>
      </x:c>
      <x:c r="B60" s="22" t="str">
        <x:v>INV-0057</x:v>
      </x:c>
      <x:c r="C60" s="22" t="str">
        <x:v>2026-09-10</x:v>
      </x:c>
      <x:c r="D60" s="22" t="str">
        <x:v>Operations</x:v>
      </x:c>
      <x:c r="E60" s="23" t="n">
        <x:v>4345.35</x:v>
      </x:c>
    </x:row>
    <x:row r="61">
      <x:c r="A61" s="22" t="str">
        <x:v>GL-0058</x:v>
      </x:c>
      <x:c r="B61" s="22" t="str">
        <x:v>INV-0058</x:v>
      </x:c>
      <x:c r="C61" s="22" t="str">
        <x:v>2026-09-17</x:v>
      </x:c>
      <x:c r="D61" s="22" t="str">
        <x:v>IT</x:v>
      </x:c>
      <x:c r="E61" s="23" t="n">
        <x:v>5265.54</x:v>
      </x:c>
    </x:row>
    <x:row r="62">
      <x:c r="A62" s="22" t="str">
        <x:v>GL-0059</x:v>
      </x:c>
      <x:c r="B62" s="22" t="str">
        <x:v>INV-0059</x:v>
      </x:c>
      <x:c r="C62" s="22" t="str">
        <x:v>2026-09-24</x:v>
      </x:c>
      <x:c r="D62" s="22" t="str">
        <x:v>Marketing</x:v>
      </x:c>
      <x:c r="E62" s="23" t="n">
        <x:v>3903.99</x:v>
      </x:c>
    </x:row>
    <x:row r="63">
      <x:c r="A63" s="22" t="str">
        <x:v>GL-0060</x:v>
      </x:c>
      <x:c r="B63" s="22" t="str">
        <x:v>INV-0060</x:v>
      </x:c>
      <x:c r="C63" s="22" t="str">
        <x:v>2026-09-01</x:v>
      </x:c>
      <x:c r="D63" s="22" t="str">
        <x:v>Administration</x:v>
      </x:c>
      <x:c r="E63" s="23" t="n">
        <x:v>6152.27</x:v>
      </x:c>
    </x:row>
    <x:row r="64">
      <x:c r="A64" s="22" t="str">
        <x:v>GL-0061</x:v>
      </x:c>
      <x:c r="B64" s="22" t="str">
        <x:v>INV-0061</x:v>
      </x:c>
      <x:c r="C64" s="22" t="str">
        <x:v>2026-09-08</x:v>
      </x:c>
      <x:c r="D64" s="22" t="str">
        <x:v>Operations</x:v>
      </x:c>
      <x:c r="E64" s="23" t="n">
        <x:v>1845.94</x:v>
      </x:c>
    </x:row>
    <x:row r="65">
      <x:c r="A65" s="22" t="str">
        <x:v>GL-0062</x:v>
      </x:c>
      <x:c r="B65" s="22" t="str">
        <x:v>INV-0062</x:v>
      </x:c>
      <x:c r="C65" s="22" t="str">
        <x:v>2026-09-15</x:v>
      </x:c>
      <x:c r="D65" s="22" t="str">
        <x:v>IT</x:v>
      </x:c>
      <x:c r="E65" s="23" t="n">
        <x:v>5771.41</x:v>
      </x:c>
    </x:row>
    <x:row r="66">
      <x:c r="A66" s="22" t="str">
        <x:v>GL-0063</x:v>
      </x:c>
      <x:c r="B66" s="22" t="str">
        <x:v>INV-0063</x:v>
      </x:c>
      <x:c r="C66" s="22" t="str">
        <x:v>2026-09-22</x:v>
      </x:c>
      <x:c r="D66" s="22" t="str">
        <x:v>Marketing</x:v>
      </x:c>
      <x:c r="E66" s="23" t="n">
        <x:v>6093.26</x:v>
      </x:c>
    </x:row>
    <x:row r="67">
      <x:c r="A67" s="22" t="str">
        <x:v>GL-0064</x:v>
      </x:c>
      <x:c r="B67" s="22" t="str">
        <x:v>INV-0064</x:v>
      </x:c>
      <x:c r="C67" s="22" t="str">
        <x:v>2026-09-29</x:v>
      </x:c>
      <x:c r="D67" s="22" t="str">
        <x:v>Administration</x:v>
      </x:c>
      <x:c r="E67" s="23" t="n">
        <x:v>2034.81</x:v>
      </x:c>
    </x:row>
    <x:row r="68">
      <x:c r="A68" s="22" t="str">
        <x:v>GL-0065</x:v>
      </x:c>
      <x:c r="B68" s="22" t="str">
        <x:v>INV-0065</x:v>
      </x:c>
      <x:c r="C68" s="22" t="str">
        <x:v>2026-09-06</x:v>
      </x:c>
      <x:c r="D68" s="22" t="str">
        <x:v>Operations</x:v>
      </x:c>
      <x:c r="E68" s="23" t="n">
        <x:v>6166.1</x:v>
      </x:c>
    </x:row>
    <x:row r="69">
      <x:c r="A69" s="22" t="str">
        <x:v>GL-0066</x:v>
      </x:c>
      <x:c r="B69" s="22" t="str">
        <x:v>INV-0066</x:v>
      </x:c>
      <x:c r="C69" s="22" t="str">
        <x:v>2026-09-13</x:v>
      </x:c>
      <x:c r="D69" s="22" t="str">
        <x:v>IT</x:v>
      </x:c>
      <x:c r="E69" s="23" t="n">
        <x:v>3253.89</x:v>
      </x:c>
    </x:row>
    <x:row r="70">
      <x:c r="A70" s="22" t="str">
        <x:v>GL-DUP-66</x:v>
      </x:c>
      <x:c r="B70" s="22" t="str">
        <x:v>INV-0066</x:v>
      </x:c>
      <x:c r="C70" s="22" t="str">
        <x:v>2026-09-13</x:v>
      </x:c>
      <x:c r="D70" s="22" t="str">
        <x:v>IT</x:v>
      </x:c>
      <x:c r="E70" s="23" t="n">
        <x:v>3253.89</x:v>
      </x:c>
    </x:row>
    <x:row r="71">
      <x:c r="A71" s="22" t="str">
        <x:v>GL-0067</x:v>
      </x:c>
      <x:c r="B71" s="22" t="str">
        <x:v>INV-0067</x:v>
      </x:c>
      <x:c r="C71" s="22" t="str">
        <x:v>2026-09-20</x:v>
      </x:c>
      <x:c r="D71" s="22" t="str">
        <x:v>Marketing</x:v>
      </x:c>
      <x:c r="E71" s="23" t="n">
        <x:v>749.72</x:v>
      </x:c>
    </x:row>
    <x:row r="72">
      <x:c r="A72" s="22" t="str">
        <x:v>GL-0068</x:v>
      </x:c>
      <x:c r="B72" s="22" t="str">
        <x:v>INV-0068</x:v>
      </x:c>
      <x:c r="C72" s="22" t="str">
        <x:v>2026-09-27</x:v>
      </x:c>
      <x:c r="D72" s="22" t="str">
        <x:v>Administration</x:v>
      </x:c>
      <x:c r="E72" s="23" t="n">
        <x:v>4141.09</x:v>
      </x:c>
    </x:row>
    <x:row r="73">
      <x:c r="A73" s="22" t="str">
        <x:v>GL-0069</x:v>
      </x:c>
      <x:c r="B73" s="22" t="str">
        <x:v>INV-0069</x:v>
      </x:c>
      <x:c r="C73" s="22" t="str">
        <x:v>2026-09-04</x:v>
      </x:c>
      <x:c r="D73" s="22" t="str">
        <x:v>Operations</x:v>
      </x:c>
      <x:c r="E73" s="23" t="n">
        <x:v>2049.26</x:v>
      </x:c>
    </x:row>
    <x:row r="74">
      <x:c r="A74" s="22" t="str">
        <x:v>GL-0070</x:v>
      </x:c>
      <x:c r="B74" s="22" t="str">
        <x:v>INV-0070</x:v>
      </x:c>
      <x:c r="C74" s="22" t="str">
        <x:v>2026-09-11</x:v>
      </x:c>
      <x:c r="D74" s="22" t="str">
        <x:v>IT</x:v>
      </x:c>
      <x:c r="E74" s="23" t="n">
        <x:v>4643.46</x:v>
      </x:c>
    </x:row>
    <x:row r="75">
      <x:c r="A75" s="22" t="str">
        <x:v>GL-0071</x:v>
      </x:c>
      <x:c r="B75" s="22" t="str">
        <x:v>INV-0071</x:v>
      </x:c>
      <x:c r="C75" s="22" t="str">
        <x:v>2026-09-18</x:v>
      </x:c>
      <x:c r="D75" s="22" t="str">
        <x:v>Marketing</x:v>
      </x:c>
      <x:c r="E75" s="23" t="n">
        <x:v>5321.99</x:v>
      </x:c>
    </x:row>
    <x:row r="76">
      <x:c r="A76" s="22" t="str">
        <x:v>GL-0072</x:v>
      </x:c>
      <x:c r="B76" s="22" t="str">
        <x:v>INV-0072</x:v>
      </x:c>
      <x:c r="C76" s="22" t="str">
        <x:v>2026-09-25</x:v>
      </x:c>
      <x:c r="D76" s="22" t="str">
        <x:v>Administration</x:v>
      </x:c>
      <x:c r="E76" s="23" t="n">
        <x:v>2217.11</x:v>
      </x:c>
    </x:row>
    <x:row r="77">
      <x:c r="A77" s="22" t="str">
        <x:v>GL-UNMATCH-1</x:v>
      </x:c>
      <x:c r="B77" s="22" t="str">
        <x:v>EXT-0001</x:v>
      </x:c>
      <x:c r="C77" s="22" t="str">
        <x:v>2026-09-30</x:v>
      </x:c>
      <x:c r="D77" s="22" t="str">
        <x:v>IT</x:v>
      </x:c>
      <x:c r="E77" s="23" t="n">
        <x:v>900</x:v>
      </x:c>
    </x:row>
    <x:row r="78">
      <x:c r="A78" s="22" t="str">
        <x:v>GL-UNMATCH-2</x:v>
      </x:c>
      <x:c r="B78" s="22" t="str">
        <x:v>EXT-0002</x:v>
      </x:c>
      <x:c r="C78" s="22" t="str">
        <x:v>2026-09-30</x:v>
      </x:c>
      <x:c r="D78" s="22" t="str">
        <x:v>IT</x:v>
      </x:c>
      <x:c r="E78" s="23" t="n">
        <x:v>1750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7" hidden="0" customWidth="1"/>
    <x:col min="10" max="10" width="27" hidden="0" customWidth="1"/>
  </x:cols>
  <x:sheetData>
    <x:row r="1" ht="25" customHeight="1">
      <x:c r="A1" s="3" t="str">
        <x:v>Reconciliation Review Queue · Python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2" t="str">
        <x:v>Exported control results; statuses are calculated by src/reconcile.py, not Excel formulas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5" ht="30" customHeight="1">
      <x:c r="A5" s="16" t="str">
        <x:v>Invoice ID</x:v>
      </x:c>
      <x:c r="B5" s="16" t="str">
        <x:v>Register rows</x:v>
      </x:c>
      <x:c r="C5" s="16" t="str">
        <x:v>GL postings</x:v>
      </x:c>
      <x:c r="D5" s="16" t="str">
        <x:v>Invoice USD</x:v>
      </x:c>
      <x:c r="E5" s="16" t="str">
        <x:v>GL USD</x:v>
      </x:c>
      <x:c r="F5" s="16" t="str">
        <x:v>Delta USD</x:v>
      </x:c>
      <x:c r="G5" s="16" t="str">
        <x:v>Invoice dept</x:v>
      </x:c>
      <x:c r="H5" s="16" t="str">
        <x:v>GL dept</x:v>
      </x:c>
      <x:c r="I5" s="16" t="str">
        <x:v>Review status</x:v>
      </x:c>
      <x:c r="J5" s="16" t="str">
        <x:v>Exception flags</x:v>
      </x:c>
    </x:row>
    <x:row r="6">
      <x:c r="A6" t="str">
        <x:v>EXT-0001</x:v>
      </x:c>
      <x:c r="B6" t="n">
        <x:v>0</x:v>
      </x:c>
      <x:c r="C6" t="n">
        <x:v>1</x:v>
      </x:c>
      <x:c r="D6" s="20" t="n">
        <x:v>0</x:v>
      </x:c>
      <x:c r="E6" s="20" t="n">
        <x:v>900</x:v>
      </x:c>
      <x:c r="F6" s="20" t="n">
        <x:v>-900</x:v>
      </x:c>
      <x:c r="G6" t="str"/>
      <x:c r="H6" t="str">
        <x:v>IT</x:v>
      </x:c>
      <x:c r="I6" t="str">
        <x:v>EXCEPTION</x:v>
      </x:c>
      <x:c r="J6" s="12" t="str">
        <x:v>GL without invoice</x:v>
      </x:c>
    </x:row>
    <x:row r="7">
      <x:c r="A7" t="str">
        <x:v>EXT-0002</x:v>
      </x:c>
      <x:c r="B7" t="n">
        <x:v>0</x:v>
      </x:c>
      <x:c r="C7" t="n">
        <x:v>1</x:v>
      </x:c>
      <x:c r="D7" s="20" t="n">
        <x:v>0</x:v>
      </x:c>
      <x:c r="E7" s="20" t="n">
        <x:v>1750</x:v>
      </x:c>
      <x:c r="F7" s="20" t="n">
        <x:v>-1750</x:v>
      </x:c>
      <x:c r="G7" t="str"/>
      <x:c r="H7" t="str">
        <x:v>IT</x:v>
      </x:c>
      <x:c r="I7" t="str">
        <x:v>EXCEPTION</x:v>
      </x:c>
      <x:c r="J7" s="12" t="str">
        <x:v>GL without invoice</x:v>
      </x:c>
    </x:row>
    <x:row r="8">
      <x:c r="A8" t="str">
        <x:v>INV-0001</x:v>
      </x:c>
      <x:c r="B8" t="n">
        <x:v>1</x:v>
      </x:c>
      <x:c r="C8" t="n">
        <x:v>1</x:v>
      </x:c>
      <x:c r="D8" s="20" t="n">
        <x:v>3879.18</x:v>
      </x:c>
      <x:c r="E8" s="20" t="n">
        <x:v>3879.18</x:v>
      </x:c>
      <x:c r="F8" s="20" t="n">
        <x:v>0</x:v>
      </x:c>
      <x:c r="G8" t="str">
        <x:v>Operations</x:v>
      </x:c>
      <x:c r="H8" t="str">
        <x:v>Operations</x:v>
      </x:c>
      <x:c r="I8" t="str">
        <x:v>MATCHED</x:v>
      </x:c>
      <x:c r="J8" s="12" t="str"/>
    </x:row>
    <x:row r="9">
      <x:c r="A9" t="str">
        <x:v>INV-0002</x:v>
      </x:c>
      <x:c r="B9" t="n">
        <x:v>1</x:v>
      </x:c>
      <x:c r="C9" t="n">
        <x:v>1</x:v>
      </x:c>
      <x:c r="D9" s="20" t="n">
        <x:v>6270.51</x:v>
      </x:c>
      <x:c r="E9" s="20" t="n">
        <x:v>6270.51</x:v>
      </x:c>
      <x:c r="F9" s="20" t="n">
        <x:v>0</x:v>
      </x:c>
      <x:c r="G9" t="str">
        <x:v>IT</x:v>
      </x:c>
      <x:c r="H9" t="str">
        <x:v>IT</x:v>
      </x:c>
      <x:c r="I9" t="str">
        <x:v>MATCHED</x:v>
      </x:c>
      <x:c r="J9" s="12" t="str"/>
    </x:row>
    <x:row r="10">
      <x:c r="A10" t="str">
        <x:v>INV-0003</x:v>
      </x:c>
      <x:c r="B10" t="n">
        <x:v>1</x:v>
      </x:c>
      <x:c r="C10" t="n">
        <x:v>1</x:v>
      </x:c>
      <x:c r="D10" s="20" t="n">
        <x:v>6201.03</x:v>
      </x:c>
      <x:c r="E10" s="20" t="n">
        <x:v>6201.03</x:v>
      </x:c>
      <x:c r="F10" s="20" t="n">
        <x:v>0</x:v>
      </x:c>
      <x:c r="G10" t="str">
        <x:v>Marketing</x:v>
      </x:c>
      <x:c r="H10" t="str">
        <x:v>Marketing</x:v>
      </x:c>
      <x:c r="I10" t="str">
        <x:v>MATCHED</x:v>
      </x:c>
      <x:c r="J10" s="12" t="str"/>
    </x:row>
    <x:row r="11">
      <x:c r="A11" t="str">
        <x:v>INV-0004</x:v>
      </x:c>
      <x:c r="B11" t="n">
        <x:v>1</x:v>
      </x:c>
      <x:c r="C11" t="n">
        <x:v>1</x:v>
      </x:c>
      <x:c r="D11" s="20" t="n">
        <x:v>1476.15</x:v>
      </x:c>
      <x:c r="E11" s="20" t="n">
        <x:v>1476.15</x:v>
      </x:c>
      <x:c r="F11" s="20" t="n">
        <x:v>0</x:v>
      </x:c>
      <x:c r="G11" t="str">
        <x:v>Administration</x:v>
      </x:c>
      <x:c r="H11" t="str">
        <x:v>Administration</x:v>
      </x:c>
      <x:c r="I11" t="str">
        <x:v>MATCHED</x:v>
      </x:c>
      <x:c r="J11" s="12" t="str"/>
    </x:row>
    <x:row r="12">
      <x:c r="A12" t="str">
        <x:v>INV-0005</x:v>
      </x:c>
      <x:c r="B12" t="n">
        <x:v>1</x:v>
      </x:c>
      <x:c r="C12" t="n">
        <x:v>1</x:v>
      </x:c>
      <x:c r="D12" s="20" t="n">
        <x:v>3562.92</x:v>
      </x:c>
      <x:c r="E12" s="20" t="n">
        <x:v>3562.92</x:v>
      </x:c>
      <x:c r="F12" s="20" t="n">
        <x:v>0</x:v>
      </x:c>
      <x:c r="G12" t="str">
        <x:v>Operations</x:v>
      </x:c>
      <x:c r="H12" t="str">
        <x:v>Operations</x:v>
      </x:c>
      <x:c r="I12" t="str">
        <x:v>MATCHED</x:v>
      </x:c>
      <x:c r="J12" s="12" t="str"/>
    </x:row>
    <x:row r="13">
      <x:c r="A13" t="str">
        <x:v>INV-0006</x:v>
      </x:c>
      <x:c r="B13" t="n">
        <x:v>1</x:v>
      </x:c>
      <x:c r="C13" t="n">
        <x:v>1</x:v>
      </x:c>
      <x:c r="D13" s="20" t="n">
        <x:v>1825.92</x:v>
      </x:c>
      <x:c r="E13" s="20" t="n">
        <x:v>1825.92</x:v>
      </x:c>
      <x:c r="F13" s="20" t="n">
        <x:v>0</x:v>
      </x:c>
      <x:c r="G13" t="str">
        <x:v>IT</x:v>
      </x:c>
      <x:c r="H13" t="str">
        <x:v>IT</x:v>
      </x:c>
      <x:c r="I13" t="str">
        <x:v>MATCHED</x:v>
      </x:c>
      <x:c r="J13" s="12" t="str"/>
    </x:row>
    <x:row r="14">
      <x:c r="A14" t="str">
        <x:v>INV-0007</x:v>
      </x:c>
      <x:c r="B14" t="n">
        <x:v>1</x:v>
      </x:c>
      <x:c r="C14" t="n">
        <x:v>1</x:v>
      </x:c>
      <x:c r="D14" s="20" t="n">
        <x:v>301.52</x:v>
      </x:c>
      <x:c r="E14" s="20" t="n">
        <x:v>301.52</x:v>
      </x:c>
      <x:c r="F14" s="20" t="n">
        <x:v>0</x:v>
      </x:c>
      <x:c r="G14" t="str">
        <x:v>Marketing</x:v>
      </x:c>
      <x:c r="H14" t="str">
        <x:v>Marketing</x:v>
      </x:c>
      <x:c r="I14" t="str">
        <x:v>MATCHED</x:v>
      </x:c>
      <x:c r="J14" s="12" t="str"/>
    </x:row>
    <x:row r="15">
      <x:c r="A15" t="str">
        <x:v>INV-0008</x:v>
      </x:c>
      <x:c r="B15" t="n">
        <x:v>1</x:v>
      </x:c>
      <x:c r="C15" t="n">
        <x:v>1</x:v>
      </x:c>
      <x:c r="D15" s="20" t="n">
        <x:v>1003.37</x:v>
      </x:c>
      <x:c r="E15" s="20" t="n">
        <x:v>1003.37</x:v>
      </x:c>
      <x:c r="F15" s="20" t="n">
        <x:v>0</x:v>
      </x:c>
      <x:c r="G15" t="str">
        <x:v>Administration</x:v>
      </x:c>
      <x:c r="H15" t="str">
        <x:v>Administration</x:v>
      </x:c>
      <x:c r="I15" t="str">
        <x:v>MATCHED</x:v>
      </x:c>
      <x:c r="J15" s="12" t="str"/>
    </x:row>
    <x:row r="16">
      <x:c r="A16" t="str">
        <x:v>INV-0009</x:v>
      </x:c>
      <x:c r="B16" t="n">
        <x:v>1</x:v>
      </x:c>
      <x:c r="C16" t="n">
        <x:v>1</x:v>
      </x:c>
      <x:c r="D16" s="20" t="n">
        <x:v>4752.04</x:v>
      </x:c>
      <x:c r="E16" s="20" t="n">
        <x:v>4752.04</x:v>
      </x:c>
      <x:c r="F16" s="20" t="n">
        <x:v>0</x:v>
      </x:c>
      <x:c r="G16" t="str">
        <x:v>Operations</x:v>
      </x:c>
      <x:c r="H16" t="str">
        <x:v>Operations</x:v>
      </x:c>
      <x:c r="I16" t="str">
        <x:v>MATCHED</x:v>
      </x:c>
      <x:c r="J16" s="12" t="str"/>
    </x:row>
    <x:row r="17">
      <x:c r="A17" t="str">
        <x:v>INV-0010</x:v>
      </x:c>
      <x:c r="B17" t="n">
        <x:v>1</x:v>
      </x:c>
      <x:c r="C17" t="n">
        <x:v>1</x:v>
      </x:c>
      <x:c r="D17" s="20" t="n">
        <x:v>1999.73</x:v>
      </x:c>
      <x:c r="E17" s="20" t="n">
        <x:v>1999.73</x:v>
      </x:c>
      <x:c r="F17" s="20" t="n">
        <x:v>0</x:v>
      </x:c>
      <x:c r="G17" t="str">
        <x:v>IT</x:v>
      </x:c>
      <x:c r="H17" t="str">
        <x:v>IT</x:v>
      </x:c>
      <x:c r="I17" t="str">
        <x:v>MATCHED</x:v>
      </x:c>
      <x:c r="J17" s="12" t="str"/>
    </x:row>
    <x:row r="18">
      <x:c r="A18" t="str">
        <x:v>INV-0011</x:v>
      </x:c>
      <x:c r="B18" t="n">
        <x:v>1</x:v>
      </x:c>
      <x:c r="C18" t="n">
        <x:v>0</x:v>
      </x:c>
      <x:c r="D18" s="20" t="n">
        <x:v>4222.82</x:v>
      </x:c>
      <x:c r="E18" s="20" t="n">
        <x:v>0</x:v>
      </x:c>
      <x:c r="F18" s="20" t="n">
        <x:v>4222.82</x:v>
      </x:c>
      <x:c r="G18" t="str">
        <x:v>Marketing</x:v>
      </x:c>
      <x:c r="H18" t="str"/>
      <x:c r="I18" t="str">
        <x:v>EXCEPTION</x:v>
      </x:c>
      <x:c r="J18" s="12" t="str">
        <x:v>Invoice without GL</x:v>
      </x:c>
    </x:row>
    <x:row r="19">
      <x:c r="A19" t="str">
        <x:v>INV-0012</x:v>
      </x:c>
      <x:c r="B19" t="n">
        <x:v>1</x:v>
      </x:c>
      <x:c r="C19" t="n">
        <x:v>1</x:v>
      </x:c>
      <x:c r="D19" s="20" t="n">
        <x:v>1854.84</x:v>
      </x:c>
      <x:c r="E19" s="20" t="n">
        <x:v>1854.84</x:v>
      </x:c>
      <x:c r="F19" s="20" t="n">
        <x:v>0</x:v>
      </x:c>
      <x:c r="G19" t="str">
        <x:v>Administration</x:v>
      </x:c>
      <x:c r="H19" t="str">
        <x:v>Administration</x:v>
      </x:c>
      <x:c r="I19" t="str">
        <x:v>MATCHED</x:v>
      </x:c>
      <x:c r="J19" s="12" t="str"/>
    </x:row>
    <x:row r="20">
      <x:c r="A20" t="str">
        <x:v>INV-0013</x:v>
      </x:c>
      <x:c r="B20" t="n">
        <x:v>1</x:v>
      </x:c>
      <x:c r="C20" t="n">
        <x:v>1</x:v>
      </x:c>
      <x:c r="D20" s="20" t="n">
        <x:v>2138.31</x:v>
      </x:c>
      <x:c r="E20" s="20" t="n">
        <x:v>2138.31</x:v>
      </x:c>
      <x:c r="F20" s="20" t="n">
        <x:v>0</x:v>
      </x:c>
      <x:c r="G20" t="str">
        <x:v>Operations</x:v>
      </x:c>
      <x:c r="H20" t="str">
        <x:v>Operations</x:v>
      </x:c>
      <x:c r="I20" t="str">
        <x:v>MATCHED</x:v>
      </x:c>
      <x:c r="J20" s="12" t="str"/>
    </x:row>
    <x:row r="21">
      <x:c r="A21" t="str">
        <x:v>INV-0014</x:v>
      </x:c>
      <x:c r="B21" t="n">
        <x:v>1</x:v>
      </x:c>
      <x:c r="C21" t="n">
        <x:v>1</x:v>
      </x:c>
      <x:c r="D21" s="20" t="n">
        <x:v>627.51</x:v>
      </x:c>
      <x:c r="E21" s="20" t="n">
        <x:v>627.51</x:v>
      </x:c>
      <x:c r="F21" s="20" t="n">
        <x:v>0</x:v>
      </x:c>
      <x:c r="G21" t="str">
        <x:v>IT</x:v>
      </x:c>
      <x:c r="H21" t="str">
        <x:v>IT</x:v>
      </x:c>
      <x:c r="I21" t="str">
        <x:v>MATCHED</x:v>
      </x:c>
      <x:c r="J21" s="12" t="str"/>
    </x:row>
    <x:row r="22">
      <x:c r="A22" t="str">
        <x:v>INV-0015</x:v>
      </x:c>
      <x:c r="B22" t="n">
        <x:v>1</x:v>
      </x:c>
      <x:c r="C22" t="n">
        <x:v>1</x:v>
      </x:c>
      <x:c r="D22" s="20" t="n">
        <x:v>4223.82</x:v>
      </x:c>
      <x:c r="E22" s="20" t="n">
        <x:v>4223.82</x:v>
      </x:c>
      <x:c r="F22" s="20" t="n">
        <x:v>0</x:v>
      </x:c>
      <x:c r="G22" t="str">
        <x:v>Marketing</x:v>
      </x:c>
      <x:c r="H22" t="str">
        <x:v>Marketing</x:v>
      </x:c>
      <x:c r="I22" t="str">
        <x:v>MATCHED</x:v>
      </x:c>
      <x:c r="J22" s="12" t="str"/>
    </x:row>
    <x:row r="23">
      <x:c r="A23" t="str">
        <x:v>INV-0016</x:v>
      </x:c>
      <x:c r="B23" t="n">
        <x:v>1</x:v>
      </x:c>
      <x:c r="C23" t="n">
        <x:v>1</x:v>
      </x:c>
      <x:c r="D23" s="20" t="n">
        <x:v>1589.45</x:v>
      </x:c>
      <x:c r="E23" s="20" t="n">
        <x:v>1589.45</x:v>
      </x:c>
      <x:c r="F23" s="20" t="n">
        <x:v>0</x:v>
      </x:c>
      <x:c r="G23" t="str">
        <x:v>Administration</x:v>
      </x:c>
      <x:c r="H23" t="str">
        <x:v>Administration</x:v>
      </x:c>
      <x:c r="I23" t="str">
        <x:v>MATCHED</x:v>
      </x:c>
      <x:c r="J23" s="12" t="str"/>
    </x:row>
    <x:row r="24">
      <x:c r="A24" t="str">
        <x:v>INV-0017</x:v>
      </x:c>
      <x:c r="B24" t="n">
        <x:v>1</x:v>
      </x:c>
      <x:c r="C24" t="n">
        <x:v>1</x:v>
      </x:c>
      <x:c r="D24" s="20" t="n">
        <x:v>637.01</x:v>
      </x:c>
      <x:c r="E24" s="20" t="n">
        <x:v>637.01</x:v>
      </x:c>
      <x:c r="F24" s="20" t="n">
        <x:v>0</x:v>
      </x:c>
      <x:c r="G24" t="str">
        <x:v>Operations</x:v>
      </x:c>
      <x:c r="H24" t="str">
        <x:v>Operations</x:v>
      </x:c>
      <x:c r="I24" t="str">
        <x:v>MATCHED</x:v>
      </x:c>
      <x:c r="J24" s="12" t="str"/>
    </x:row>
    <x:row r="25">
      <x:c r="A25" t="str">
        <x:v>INV-0018</x:v>
      </x:c>
      <x:c r="B25" t="n">
        <x:v>1</x:v>
      </x:c>
      <x:c r="C25" t="n">
        <x:v>1</x:v>
      </x:c>
      <x:c r="D25" s="20" t="n">
        <x:v>2695.48</x:v>
      </x:c>
      <x:c r="E25" s="20" t="n">
        <x:v>2695.48</x:v>
      </x:c>
      <x:c r="F25" s="20" t="n">
        <x:v>0</x:v>
      </x:c>
      <x:c r="G25" t="str">
        <x:v>IT</x:v>
      </x:c>
      <x:c r="H25" t="str">
        <x:v>IT</x:v>
      </x:c>
      <x:c r="I25" t="str">
        <x:v>MATCHED</x:v>
      </x:c>
      <x:c r="J25" s="12" t="str"/>
    </x:row>
    <x:row r="26">
      <x:c r="A26" t="str">
        <x:v>INV-0019</x:v>
      </x:c>
      <x:c r="B26" t="n">
        <x:v>1</x:v>
      </x:c>
      <x:c r="C26" t="n">
        <x:v>1</x:v>
      </x:c>
      <x:c r="D26" s="20" t="n">
        <x:v>5512.55</x:v>
      </x:c>
      <x:c r="E26" s="20" t="n">
        <x:v>5512.55</x:v>
      </x:c>
      <x:c r="F26" s="20" t="n">
        <x:v>0</x:v>
      </x:c>
      <x:c r="G26" t="str">
        <x:v>Marketing</x:v>
      </x:c>
      <x:c r="H26" t="str">
        <x:v>Marketing</x:v>
      </x:c>
      <x:c r="I26" t="str">
        <x:v>MATCHED</x:v>
      </x:c>
      <x:c r="J26" s="12" t="str"/>
    </x:row>
    <x:row r="27">
      <x:c r="A27" t="str">
        <x:v>INV-0020</x:v>
      </x:c>
      <x:c r="B27" t="n">
        <x:v>1</x:v>
      </x:c>
      <x:c r="C27" t="n">
        <x:v>1</x:v>
      </x:c>
      <x:c r="D27" s="20" t="n">
        <x:v>249.52</x:v>
      </x:c>
      <x:c r="E27" s="20" t="n">
        <x:v>374.52</x:v>
      </x:c>
      <x:c r="F27" s="20" t="n">
        <x:v>-125</x:v>
      </x:c>
      <x:c r="G27" t="str">
        <x:v>Administration</x:v>
      </x:c>
      <x:c r="H27" t="str">
        <x:v>Administration</x:v>
      </x:c>
      <x:c r="I27" t="str">
        <x:v>EXCEPTION</x:v>
      </x:c>
      <x:c r="J27" s="12" t="str">
        <x:v>Amount mismatch</x:v>
      </x:c>
    </x:row>
    <x:row r="28">
      <x:c r="A28" t="str">
        <x:v>INV-0021</x:v>
      </x:c>
      <x:c r="B28" t="n">
        <x:v>1</x:v>
      </x:c>
      <x:c r="C28" t="n">
        <x:v>1</x:v>
      </x:c>
      <x:c r="D28" s="20" t="n">
        <x:v>3657.42</x:v>
      </x:c>
      <x:c r="E28" s="20" t="n">
        <x:v>3657.42</x:v>
      </x:c>
      <x:c r="F28" s="20" t="n">
        <x:v>0</x:v>
      </x:c>
      <x:c r="G28" t="str">
        <x:v>Operations</x:v>
      </x:c>
      <x:c r="H28" t="str">
        <x:v>Operations</x:v>
      </x:c>
      <x:c r="I28" t="str">
        <x:v>MATCHED</x:v>
      </x:c>
      <x:c r="J28" s="12" t="str"/>
    </x:row>
    <x:row r="29">
      <x:c r="A29" t="str">
        <x:v>INV-0022</x:v>
      </x:c>
      <x:c r="B29" t="n">
        <x:v>1</x:v>
      </x:c>
      <x:c r="C29" t="n">
        <x:v>1</x:v>
      </x:c>
      <x:c r="D29" s="20" t="n">
        <x:v>4364.39</x:v>
      </x:c>
      <x:c r="E29" s="20" t="n">
        <x:v>4364.39</x:v>
      </x:c>
      <x:c r="F29" s="20" t="n">
        <x:v>0</x:v>
      </x:c>
      <x:c r="G29" t="str">
        <x:v>IT</x:v>
      </x:c>
      <x:c r="H29" t="str">
        <x:v>IT</x:v>
      </x:c>
      <x:c r="I29" t="str">
        <x:v>MATCHED</x:v>
      </x:c>
      <x:c r="J29" s="12" t="str"/>
    </x:row>
    <x:row r="30">
      <x:c r="A30" t="str">
        <x:v>INV-0023</x:v>
      </x:c>
      <x:c r="B30" t="n">
        <x:v>1</x:v>
      </x:c>
      <x:c r="C30" t="n">
        <x:v>1</x:v>
      </x:c>
      <x:c r="D30" s="20" t="n">
        <x:v>2265.34</x:v>
      </x:c>
      <x:c r="E30" s="20" t="n">
        <x:v>2265.34</x:v>
      </x:c>
      <x:c r="F30" s="20" t="n">
        <x:v>0</x:v>
      </x:c>
      <x:c r="G30" t="str">
        <x:v>Marketing</x:v>
      </x:c>
      <x:c r="H30" t="str">
        <x:v>Marketing</x:v>
      </x:c>
      <x:c r="I30" t="str">
        <x:v>MATCHED</x:v>
      </x:c>
      <x:c r="J30" s="12" t="str"/>
    </x:row>
    <x:row r="31">
      <x:c r="A31" t="str">
        <x:v>INV-0024</x:v>
      </x:c>
      <x:c r="B31" t="n">
        <x:v>1</x:v>
      </x:c>
      <x:c r="C31" t="n">
        <x:v>1</x:v>
      </x:c>
      <x:c r="D31" s="20" t="n">
        <x:v>5319.75</x:v>
      </x:c>
      <x:c r="E31" s="20" t="n">
        <x:v>5319.75</x:v>
      </x:c>
      <x:c r="F31" s="20" t="n">
        <x:v>0</x:v>
      </x:c>
      <x:c r="G31" t="str">
        <x:v>Administration</x:v>
      </x:c>
      <x:c r="H31" t="str">
        <x:v>Administration</x:v>
      </x:c>
      <x:c r="I31" t="str">
        <x:v>MATCHED</x:v>
      </x:c>
      <x:c r="J31" s="12" t="str"/>
    </x:row>
    <x:row r="32">
      <x:c r="A32" t="str">
        <x:v>INV-0025</x:v>
      </x:c>
      <x:c r="B32" t="n">
        <x:v>1</x:v>
      </x:c>
      <x:c r="C32" t="n">
        <x:v>1</x:v>
      </x:c>
      <x:c r="D32" s="20" t="n">
        <x:v>3782.42</x:v>
      </x:c>
      <x:c r="E32" s="20" t="n">
        <x:v>3782.42</x:v>
      </x:c>
      <x:c r="F32" s="20" t="n">
        <x:v>0</x:v>
      </x:c>
      <x:c r="G32" t="str">
        <x:v>Operations</x:v>
      </x:c>
      <x:c r="H32" t="str">
        <x:v>Operations</x:v>
      </x:c>
      <x:c r="I32" t="str">
        <x:v>MATCHED</x:v>
      </x:c>
      <x:c r="J32" s="12" t="str"/>
    </x:row>
    <x:row r="33">
      <x:c r="A33" t="str">
        <x:v>INV-0026</x:v>
      </x:c>
      <x:c r="B33" t="n">
        <x:v>1</x:v>
      </x:c>
      <x:c r="C33" t="n">
        <x:v>1</x:v>
      </x:c>
      <x:c r="D33" s="20" t="n">
        <x:v>5914.25</x:v>
      </x:c>
      <x:c r="E33" s="20" t="n">
        <x:v>5914.25</x:v>
      </x:c>
      <x:c r="F33" s="20" t="n">
        <x:v>0</x:v>
      </x:c>
      <x:c r="G33" t="str">
        <x:v>IT</x:v>
      </x:c>
      <x:c r="H33" t="str">
        <x:v>IT</x:v>
      </x:c>
      <x:c r="I33" t="str">
        <x:v>MATCHED</x:v>
      </x:c>
      <x:c r="J33" s="12" t="str"/>
    </x:row>
    <x:row r="34">
      <x:c r="A34" t="str">
        <x:v>INV-0027</x:v>
      </x:c>
      <x:c r="B34" t="n">
        <x:v>1</x:v>
      </x:c>
      <x:c r="C34" t="n">
        <x:v>1</x:v>
      </x:c>
      <x:c r="D34" s="20" t="n">
        <x:v>2469.42</x:v>
      </x:c>
      <x:c r="E34" s="20" t="n">
        <x:v>2469.42</x:v>
      </x:c>
      <x:c r="F34" s="20" t="n">
        <x:v>0</x:v>
      </x:c>
      <x:c r="G34" t="str">
        <x:v>Marketing</x:v>
      </x:c>
      <x:c r="H34" t="str">
        <x:v>Marketing</x:v>
      </x:c>
      <x:c r="I34" t="str">
        <x:v>MATCHED</x:v>
      </x:c>
      <x:c r="J34" s="12" t="str"/>
    </x:row>
    <x:row r="35">
      <x:c r="A35" t="str">
        <x:v>INV-0028</x:v>
      </x:c>
      <x:c r="B35" t="n">
        <x:v>1</x:v>
      </x:c>
      <x:c r="C35" t="n">
        <x:v>1</x:v>
      </x:c>
      <x:c r="D35" s="20" t="n">
        <x:v>366.36</x:v>
      </x:c>
      <x:c r="E35" s="20" t="n">
        <x:v>366.36</x:v>
      </x:c>
      <x:c r="F35" s="20" t="n">
        <x:v>0</x:v>
      </x:c>
      <x:c r="G35" t="str">
        <x:v>Administration</x:v>
      </x:c>
      <x:c r="H35" t="str">
        <x:v>Administration</x:v>
      </x:c>
      <x:c r="I35" t="str">
        <x:v>MATCHED</x:v>
      </x:c>
      <x:c r="J35" s="12" t="str"/>
    </x:row>
    <x:row r="36">
      <x:c r="A36" t="str">
        <x:v>INV-0029</x:v>
      </x:c>
      <x:c r="B36" t="n">
        <x:v>1</x:v>
      </x:c>
      <x:c r="C36" t="n">
        <x:v>1</x:v>
      </x:c>
      <x:c r="D36" s="20" t="n">
        <x:v>3844.08</x:v>
      </x:c>
      <x:c r="E36" s="20" t="n">
        <x:v>3844.08</x:v>
      </x:c>
      <x:c r="F36" s="20" t="n">
        <x:v>0</x:v>
      </x:c>
      <x:c r="G36" t="str">
        <x:v>Operations</x:v>
      </x:c>
      <x:c r="H36" t="str">
        <x:v>Operations</x:v>
      </x:c>
      <x:c r="I36" t="str">
        <x:v>MATCHED</x:v>
      </x:c>
      <x:c r="J36" s="12" t="str"/>
    </x:row>
    <x:row r="37">
      <x:c r="A37" t="str">
        <x:v>INV-0030</x:v>
      </x:c>
      <x:c r="B37" t="n">
        <x:v>1</x:v>
      </x:c>
      <x:c r="C37" t="n">
        <x:v>1</x:v>
      </x:c>
      <x:c r="D37" s="20" t="n">
        <x:v>125.02</x:v>
      </x:c>
      <x:c r="E37" s="20" t="n">
        <x:v>125.02</x:v>
      </x:c>
      <x:c r="F37" s="20" t="n">
        <x:v>0</x:v>
      </x:c>
      <x:c r="G37" t="str">
        <x:v>IT</x:v>
      </x:c>
      <x:c r="H37" t="str">
        <x:v>IT</x:v>
      </x:c>
      <x:c r="I37" t="str">
        <x:v>MATCHED</x:v>
      </x:c>
      <x:c r="J37" s="12" t="str"/>
    </x:row>
    <x:row r="38">
      <x:c r="A38" t="str">
        <x:v>INV-0031</x:v>
      </x:c>
      <x:c r="B38" t="n">
        <x:v>1</x:v>
      </x:c>
      <x:c r="C38" t="n">
        <x:v>1</x:v>
      </x:c>
      <x:c r="D38" s="20" t="n">
        <x:v>4704.92</x:v>
      </x:c>
      <x:c r="E38" s="20" t="n">
        <x:v>4704.92</x:v>
      </x:c>
      <x:c r="F38" s="20" t="n">
        <x:v>0</x:v>
      </x:c>
      <x:c r="G38" t="str">
        <x:v>Marketing</x:v>
      </x:c>
      <x:c r="H38" t="str">
        <x:v>Marketing</x:v>
      </x:c>
      <x:c r="I38" t="str">
        <x:v>MATCHED</x:v>
      </x:c>
      <x:c r="J38" s="12" t="str"/>
    </x:row>
    <x:row r="39">
      <x:c r="A39" t="str">
        <x:v>INV-0032</x:v>
      </x:c>
      <x:c r="B39" t="n">
        <x:v>1</x:v>
      </x:c>
      <x:c r="C39" t="n">
        <x:v>1</x:v>
      </x:c>
      <x:c r="D39" s="20" t="n">
        <x:v>5646.36</x:v>
      </x:c>
      <x:c r="E39" s="20" t="n">
        <x:v>5646.36</x:v>
      </x:c>
      <x:c r="F39" s="20" t="n">
        <x:v>0</x:v>
      </x:c>
      <x:c r="G39" t="str">
        <x:v>Administration</x:v>
      </x:c>
      <x:c r="H39" t="str">
        <x:v>Administration</x:v>
      </x:c>
      <x:c r="I39" t="str">
        <x:v>MATCHED</x:v>
      </x:c>
      <x:c r="J39" s="12" t="str"/>
    </x:row>
    <x:row r="40">
      <x:c r="A40" t="str">
        <x:v>INV-0033</x:v>
      </x:c>
      <x:c r="B40" t="n">
        <x:v>1</x:v>
      </x:c>
      <x:c r="C40" t="n">
        <x:v>1</x:v>
      </x:c>
      <x:c r="D40" s="20" t="n">
        <x:v>2208.37</x:v>
      </x:c>
      <x:c r="E40" s="20" t="n">
        <x:v>2148.37</x:v>
      </x:c>
      <x:c r="F40" s="20" t="n">
        <x:v>60</x:v>
      </x:c>
      <x:c r="G40" t="str">
        <x:v>Operations</x:v>
      </x:c>
      <x:c r="H40" t="str">
        <x:v>Operations</x:v>
      </x:c>
      <x:c r="I40" t="str">
        <x:v>EXCEPTION</x:v>
      </x:c>
      <x:c r="J40" s="12" t="str">
        <x:v>Amount mismatch</x:v>
      </x:c>
    </x:row>
    <x:row r="41">
      <x:c r="A41" t="str">
        <x:v>INV-0034</x:v>
      </x:c>
      <x:c r="B41" t="n">
        <x:v>1</x:v>
      </x:c>
      <x:c r="C41" t="n">
        <x:v>1</x:v>
      </x:c>
      <x:c r="D41" s="20" t="n">
        <x:v>3815.76</x:v>
      </x:c>
      <x:c r="E41" s="20" t="n">
        <x:v>3815.76</x:v>
      </x:c>
      <x:c r="F41" s="20" t="n">
        <x:v>0</x:v>
      </x:c>
      <x:c r="G41" t="str">
        <x:v>IT</x:v>
      </x:c>
      <x:c r="H41" t="str">
        <x:v>IT</x:v>
      </x:c>
      <x:c r="I41" t="str">
        <x:v>MATCHED</x:v>
      </x:c>
      <x:c r="J41" s="12" t="str"/>
    </x:row>
    <x:row r="42">
      <x:c r="A42" t="str">
        <x:v>INV-0035</x:v>
      </x:c>
      <x:c r="B42" t="n">
        <x:v>1</x:v>
      </x:c>
      <x:c r="C42" t="n">
        <x:v>1</x:v>
      </x:c>
      <x:c r="D42" s="20" t="n">
        <x:v>1824.39</x:v>
      </x:c>
      <x:c r="E42" s="20" t="n">
        <x:v>1824.39</x:v>
      </x:c>
      <x:c r="F42" s="20" t="n">
        <x:v>0</x:v>
      </x:c>
      <x:c r="G42" t="str">
        <x:v>Marketing</x:v>
      </x:c>
      <x:c r="H42" t="str">
        <x:v>Marketing</x:v>
      </x:c>
      <x:c r="I42" t="str">
        <x:v>MATCHED</x:v>
      </x:c>
      <x:c r="J42" s="12" t="str"/>
    </x:row>
    <x:row r="43">
      <x:c r="A43" t="str">
        <x:v>INV-0036</x:v>
      </x:c>
      <x:c r="B43" t="n">
        <x:v>1</x:v>
      </x:c>
      <x:c r="C43" t="n">
        <x:v>1</x:v>
      </x:c>
      <x:c r="D43" s="20" t="n">
        <x:v>2060.17</x:v>
      </x:c>
      <x:c r="E43" s="20" t="n">
        <x:v>2060.17</x:v>
      </x:c>
      <x:c r="F43" s="20" t="n">
        <x:v>0</x:v>
      </x:c>
      <x:c r="G43" t="str">
        <x:v>Administration</x:v>
      </x:c>
      <x:c r="H43" t="str">
        <x:v>Administration</x:v>
      </x:c>
      <x:c r="I43" t="str">
        <x:v>MATCHED</x:v>
      </x:c>
      <x:c r="J43" s="12" t="str"/>
    </x:row>
    <x:row r="44">
      <x:c r="A44" t="str">
        <x:v>INV-0037</x:v>
      </x:c>
      <x:c r="B44" t="n">
        <x:v>1</x:v>
      </x:c>
      <x:c r="C44" t="n">
        <x:v>1</x:v>
      </x:c>
      <x:c r="D44" s="20" t="n">
        <x:v>1722.04</x:v>
      </x:c>
      <x:c r="E44" s="20" t="n">
        <x:v>1722.04</x:v>
      </x:c>
      <x:c r="F44" s="20" t="n">
        <x:v>0</x:v>
      </x:c>
      <x:c r="G44" t="str">
        <x:v>Operations</x:v>
      </x:c>
      <x:c r="H44" t="str">
        <x:v>Operations</x:v>
      </x:c>
      <x:c r="I44" t="str">
        <x:v>MATCHED</x:v>
      </x:c>
      <x:c r="J44" s="12" t="str"/>
    </x:row>
    <x:row r="45">
      <x:c r="A45" t="str">
        <x:v>INV-0038</x:v>
      </x:c>
      <x:c r="B45" t="n">
        <x:v>1</x:v>
      </x:c>
      <x:c r="C45" t="n">
        <x:v>1</x:v>
      </x:c>
      <x:c r="D45" s="20" t="n">
        <x:v>811.71</x:v>
      </x:c>
      <x:c r="E45" s="20" t="n">
        <x:v>811.71</x:v>
      </x:c>
      <x:c r="F45" s="20" t="n">
        <x:v>0</x:v>
      </x:c>
      <x:c r="G45" t="str">
        <x:v>IT</x:v>
      </x:c>
      <x:c r="H45" t="str">
        <x:v>IT</x:v>
      </x:c>
      <x:c r="I45" t="str">
        <x:v>MATCHED</x:v>
      </x:c>
      <x:c r="J45" s="12" t="str"/>
    </x:row>
    <x:row r="46">
      <x:c r="A46" t="str">
        <x:v>INV-0039</x:v>
      </x:c>
      <x:c r="B46" t="n">
        <x:v>1</x:v>
      </x:c>
      <x:c r="C46" t="n">
        <x:v>1</x:v>
      </x:c>
      <x:c r="D46" s="20" t="n">
        <x:v>4594.22</x:v>
      </x:c>
      <x:c r="E46" s="20" t="n">
        <x:v>4594.22</x:v>
      </x:c>
      <x:c r="F46" s="20" t="n">
        <x:v>0</x:v>
      </x:c>
      <x:c r="G46" t="str">
        <x:v>Marketing</x:v>
      </x:c>
      <x:c r="H46" t="str">
        <x:v>Marketing</x:v>
      </x:c>
      <x:c r="I46" t="str">
        <x:v>MATCHED</x:v>
      </x:c>
      <x:c r="J46" s="12" t="str"/>
    </x:row>
    <x:row r="47">
      <x:c r="A47" t="str">
        <x:v>INV-0040</x:v>
      </x:c>
      <x:c r="B47" t="n">
        <x:v>1</x:v>
      </x:c>
      <x:c r="C47" t="n">
        <x:v>1</x:v>
      </x:c>
      <x:c r="D47" s="20" t="n">
        <x:v>3276.6</x:v>
      </x:c>
      <x:c r="E47" s="20" t="n">
        <x:v>3276.6</x:v>
      </x:c>
      <x:c r="F47" s="20" t="n">
        <x:v>0</x:v>
      </x:c>
      <x:c r="G47" t="str">
        <x:v>Administration</x:v>
      </x:c>
      <x:c r="H47" t="str">
        <x:v>Administration</x:v>
      </x:c>
      <x:c r="I47" t="str">
        <x:v>MATCHED</x:v>
      </x:c>
      <x:c r="J47" s="12" t="str"/>
    </x:row>
    <x:row r="48">
      <x:c r="A48" t="str">
        <x:v>INV-0041</x:v>
      </x:c>
      <x:c r="B48" t="n">
        <x:v>1</x:v>
      </x:c>
      <x:c r="C48" t="n">
        <x:v>1</x:v>
      </x:c>
      <x:c r="D48" s="20" t="n">
        <x:v>3118.19</x:v>
      </x:c>
      <x:c r="E48" s="20" t="n">
        <x:v>3118.19</x:v>
      </x:c>
      <x:c r="F48" s="20" t="n">
        <x:v>0</x:v>
      </x:c>
      <x:c r="G48" t="str">
        <x:v>Operations</x:v>
      </x:c>
      <x:c r="H48" t="str">
        <x:v>Operations</x:v>
      </x:c>
      <x:c r="I48" t="str">
        <x:v>MATCHED</x:v>
      </x:c>
      <x:c r="J48" s="12" t="str"/>
    </x:row>
    <x:row r="49">
      <x:c r="A49" t="str">
        <x:v>INV-0042</x:v>
      </x:c>
      <x:c r="B49" t="n">
        <x:v>1</x:v>
      </x:c>
      <x:c r="C49" t="n">
        <x:v>1</x:v>
      </x:c>
      <x:c r="D49" s="20" t="n">
        <x:v>1637.93</x:v>
      </x:c>
      <x:c r="E49" s="20" t="n">
        <x:v>1637.93</x:v>
      </x:c>
      <x:c r="F49" s="20" t="n">
        <x:v>0</x:v>
      </x:c>
      <x:c r="G49" t="str">
        <x:v>IT</x:v>
      </x:c>
      <x:c r="H49" t="str">
        <x:v>IT</x:v>
      </x:c>
      <x:c r="I49" t="str">
        <x:v>MATCHED</x:v>
      </x:c>
      <x:c r="J49" s="12" t="str"/>
    </x:row>
    <x:row r="50">
      <x:c r="A50" t="str">
        <x:v>INV-0043</x:v>
      </x:c>
      <x:c r="B50" t="n">
        <x:v>1</x:v>
      </x:c>
      <x:c r="C50" t="n">
        <x:v>1</x:v>
      </x:c>
      <x:c r="D50" s="20" t="n">
        <x:v>1491.78</x:v>
      </x:c>
      <x:c r="E50" s="20" t="n">
        <x:v>1491.78</x:v>
      </x:c>
      <x:c r="F50" s="20" t="n">
        <x:v>0</x:v>
      </x:c>
      <x:c r="G50" t="str">
        <x:v>Marketing</x:v>
      </x:c>
      <x:c r="H50" t="str">
        <x:v>Marketing</x:v>
      </x:c>
      <x:c r="I50" t="str">
        <x:v>MATCHED</x:v>
      </x:c>
      <x:c r="J50" s="12" t="str"/>
    </x:row>
    <x:row r="51">
      <x:c r="A51" t="str">
        <x:v>INV-0044</x:v>
      </x:c>
      <x:c r="B51" t="n">
        <x:v>1</x:v>
      </x:c>
      <x:c r="C51" t="n">
        <x:v>0</x:v>
      </x:c>
      <x:c r="D51" s="20" t="n">
        <x:v>435.5</x:v>
      </x:c>
      <x:c r="E51" s="20" t="n">
        <x:v>0</x:v>
      </x:c>
      <x:c r="F51" s="20" t="n">
        <x:v>435.5</x:v>
      </x:c>
      <x:c r="G51" t="str">
        <x:v>Administration</x:v>
      </x:c>
      <x:c r="H51" t="str"/>
      <x:c r="I51" t="str">
        <x:v>EXCEPTION</x:v>
      </x:c>
      <x:c r="J51" s="12" t="str">
        <x:v>Invoice without GL</x:v>
      </x:c>
    </x:row>
    <x:row r="52">
      <x:c r="A52" t="str">
        <x:v>INV-0045</x:v>
      </x:c>
      <x:c r="B52" t="n">
        <x:v>1</x:v>
      </x:c>
      <x:c r="C52" t="n">
        <x:v>1</x:v>
      </x:c>
      <x:c r="D52" s="20" t="n">
        <x:v>2348.43</x:v>
      </x:c>
      <x:c r="E52" s="20" t="n">
        <x:v>2348.43</x:v>
      </x:c>
      <x:c r="F52" s="20" t="n">
        <x:v>0</x:v>
      </x:c>
      <x:c r="G52" t="str">
        <x:v>Operations</x:v>
      </x:c>
      <x:c r="H52" t="str">
        <x:v>Operations</x:v>
      </x:c>
      <x:c r="I52" t="str">
        <x:v>MATCHED</x:v>
      </x:c>
      <x:c r="J52" s="12" t="str"/>
    </x:row>
    <x:row r="53">
      <x:c r="A53" t="str">
        <x:v>INV-0046</x:v>
      </x:c>
      <x:c r="B53" t="n">
        <x:v>1</x:v>
      </x:c>
      <x:c r="C53" t="n">
        <x:v>1</x:v>
      </x:c>
      <x:c r="D53" s="20" t="n">
        <x:v>6467.78</x:v>
      </x:c>
      <x:c r="E53" s="20" t="n">
        <x:v>6467.78</x:v>
      </x:c>
      <x:c r="F53" s="20" t="n">
        <x:v>0</x:v>
      </x:c>
      <x:c r="G53" t="str">
        <x:v>IT</x:v>
      </x:c>
      <x:c r="H53" t="str">
        <x:v>IT</x:v>
      </x:c>
      <x:c r="I53" t="str">
        <x:v>MATCHED</x:v>
      </x:c>
      <x:c r="J53" s="12" t="str"/>
    </x:row>
    <x:row r="54">
      <x:c r="A54" t="str">
        <x:v>INV-0047</x:v>
      </x:c>
      <x:c r="B54" t="n">
        <x:v>1</x:v>
      </x:c>
      <x:c r="C54" t="n">
        <x:v>1</x:v>
      </x:c>
      <x:c r="D54" s="20" t="n">
        <x:v>3893.62</x:v>
      </x:c>
      <x:c r="E54" s="20" t="n">
        <x:v>3893.62</x:v>
      </x:c>
      <x:c r="F54" s="20" t="n">
        <x:v>0</x:v>
      </x:c>
      <x:c r="G54" t="str">
        <x:v>Marketing</x:v>
      </x:c>
      <x:c r="H54" t="str">
        <x:v>Marketing</x:v>
      </x:c>
      <x:c r="I54" t="str">
        <x:v>MATCHED</x:v>
      </x:c>
      <x:c r="J54" s="12" t="str"/>
    </x:row>
    <x:row r="55">
      <x:c r="A55" t="str">
        <x:v>INV-0048</x:v>
      </x:c>
      <x:c r="B55" t="n">
        <x:v>1</x:v>
      </x:c>
      <x:c r="C55" t="n">
        <x:v>1</x:v>
      </x:c>
      <x:c r="D55" s="20" t="n">
        <x:v>1685.25</x:v>
      </x:c>
      <x:c r="E55" s="20" t="n">
        <x:v>1685.25</x:v>
      </x:c>
      <x:c r="F55" s="20" t="n">
        <x:v>0</x:v>
      </x:c>
      <x:c r="G55" t="str">
        <x:v>Administration</x:v>
      </x:c>
      <x:c r="H55" t="str">
        <x:v>Administration</x:v>
      </x:c>
      <x:c r="I55" t="str">
        <x:v>MATCHED</x:v>
      </x:c>
      <x:c r="J55" s="12" t="str"/>
    </x:row>
    <x:row r="56">
      <x:c r="A56" t="str">
        <x:v>INV-0049</x:v>
      </x:c>
      <x:c r="B56" t="n">
        <x:v>1</x:v>
      </x:c>
      <x:c r="C56" t="n">
        <x:v>1</x:v>
      </x:c>
      <x:c r="D56" s="20" t="n">
        <x:v>3890.51</x:v>
      </x:c>
      <x:c r="E56" s="20" t="n">
        <x:v>3890.51</x:v>
      </x:c>
      <x:c r="F56" s="20" t="n">
        <x:v>0</x:v>
      </x:c>
      <x:c r="G56" t="str">
        <x:v>Operations</x:v>
      </x:c>
      <x:c r="H56" t="str">
        <x:v>Operations</x:v>
      </x:c>
      <x:c r="I56" t="str">
        <x:v>MATCHED</x:v>
      </x:c>
      <x:c r="J56" s="12" t="str"/>
    </x:row>
    <x:row r="57">
      <x:c r="A57" t="str">
        <x:v>INV-0050</x:v>
      </x:c>
      <x:c r="B57" t="n">
        <x:v>1</x:v>
      </x:c>
      <x:c r="C57" t="n">
        <x:v>1</x:v>
      </x:c>
      <x:c r="D57" s="20" t="n">
        <x:v>4667.55</x:v>
      </x:c>
      <x:c r="E57" s="20" t="n">
        <x:v>4667.55</x:v>
      </x:c>
      <x:c r="F57" s="20" t="n">
        <x:v>0</x:v>
      </x:c>
      <x:c r="G57" t="str">
        <x:v>IT</x:v>
      </x:c>
      <x:c r="H57" t="str">
        <x:v>IT</x:v>
      </x:c>
      <x:c r="I57" t="str">
        <x:v>MATCHED</x:v>
      </x:c>
      <x:c r="J57" s="12" t="str"/>
    </x:row>
    <x:row r="58">
      <x:c r="A58" t="str">
        <x:v>INV-0051</x:v>
      </x:c>
      <x:c r="B58" t="n">
        <x:v>1</x:v>
      </x:c>
      <x:c r="C58" t="n">
        <x:v>1</x:v>
      </x:c>
      <x:c r="D58" s="20" t="n">
        <x:v>6158.5</x:v>
      </x:c>
      <x:c r="E58" s="20" t="n">
        <x:v>6158.5</x:v>
      </x:c>
      <x:c r="F58" s="20" t="n">
        <x:v>0</x:v>
      </x:c>
      <x:c r="G58" t="str">
        <x:v>Marketing</x:v>
      </x:c>
      <x:c r="H58" t="str">
        <x:v>Marketing</x:v>
      </x:c>
      <x:c r="I58" t="str">
        <x:v>MATCHED</x:v>
      </x:c>
      <x:c r="J58" s="12" t="str"/>
    </x:row>
    <x:row r="59">
      <x:c r="A59" t="str">
        <x:v>INV-0052</x:v>
      </x:c>
      <x:c r="B59" t="n">
        <x:v>1</x:v>
      </x:c>
      <x:c r="C59" t="n">
        <x:v>1</x:v>
      </x:c>
      <x:c r="D59" s="20" t="n">
        <x:v>2595.81</x:v>
      </x:c>
      <x:c r="E59" s="20" t="n">
        <x:v>2595.81</x:v>
      </x:c>
      <x:c r="F59" s="20" t="n">
        <x:v>0</x:v>
      </x:c>
      <x:c r="G59" t="str">
        <x:v>Administration</x:v>
      </x:c>
      <x:c r="H59" t="str">
        <x:v>Administration</x:v>
      </x:c>
      <x:c r="I59" t="str">
        <x:v>MATCHED</x:v>
      </x:c>
      <x:c r="J59" s="12" t="str"/>
    </x:row>
    <x:row r="60">
      <x:c r="A60" t="str">
        <x:v>INV-0053</x:v>
      </x:c>
      <x:c r="B60" t="n">
        <x:v>1</x:v>
      </x:c>
      <x:c r="C60" t="n">
        <x:v>1</x:v>
      </x:c>
      <x:c r="D60" s="20" t="n">
        <x:v>4776.04</x:v>
      </x:c>
      <x:c r="E60" s="20" t="n">
        <x:v>4776.04</x:v>
      </x:c>
      <x:c r="F60" s="20" t="n">
        <x:v>0</x:v>
      </x:c>
      <x:c r="G60" t="str">
        <x:v>Operations</x:v>
      </x:c>
      <x:c r="H60" t="str">
        <x:v>Operations</x:v>
      </x:c>
      <x:c r="I60" t="str">
        <x:v>MATCHED</x:v>
      </x:c>
      <x:c r="J60" s="12" t="str"/>
    </x:row>
    <x:row r="61">
      <x:c r="A61" t="str">
        <x:v>INV-0054</x:v>
      </x:c>
      <x:c r="B61" t="n">
        <x:v>1</x:v>
      </x:c>
      <x:c r="C61" t="n">
        <x:v>1</x:v>
      </x:c>
      <x:c r="D61" s="20" t="n">
        <x:v>1753.15</x:v>
      </x:c>
      <x:c r="E61" s="20" t="n">
        <x:v>1753.15</x:v>
      </x:c>
      <x:c r="F61" s="20" t="n">
        <x:v>0</x:v>
      </x:c>
      <x:c r="G61" t="str">
        <x:v>IT</x:v>
      </x:c>
      <x:c r="H61" t="str">
        <x:v>IT</x:v>
      </x:c>
      <x:c r="I61" t="str">
        <x:v>MATCHED</x:v>
      </x:c>
      <x:c r="J61" s="12" t="str"/>
    </x:row>
    <x:row r="62">
      <x:c r="A62" t="str">
        <x:v>INV-0055</x:v>
      </x:c>
      <x:c r="B62" t="n">
        <x:v>1</x:v>
      </x:c>
      <x:c r="C62" t="n">
        <x:v>1</x:v>
      </x:c>
      <x:c r="D62" s="20" t="n">
        <x:v>2145.47</x:v>
      </x:c>
      <x:c r="E62" s="20" t="n">
        <x:v>2145.47</x:v>
      </x:c>
      <x:c r="F62" s="20" t="n">
        <x:v>0</x:v>
      </x:c>
      <x:c r="G62" t="str">
        <x:v>Marketing</x:v>
      </x:c>
      <x:c r="H62" t="str">
        <x:v>Operations</x:v>
      </x:c>
      <x:c r="I62" t="str">
        <x:v>EXCEPTION</x:v>
      </x:c>
      <x:c r="J62" s="12" t="str">
        <x:v>Department mismatch</x:v>
      </x:c>
    </x:row>
    <x:row r="63">
      <x:c r="A63" t="str">
        <x:v>INV-0056</x:v>
      </x:c>
      <x:c r="B63" t="n">
        <x:v>1</x:v>
      </x:c>
      <x:c r="C63" t="n">
        <x:v>1</x:v>
      </x:c>
      <x:c r="D63" s="20" t="n">
        <x:v>3483.96</x:v>
      </x:c>
      <x:c r="E63" s="20" t="n">
        <x:v>3483.96</x:v>
      </x:c>
      <x:c r="F63" s="20" t="n">
        <x:v>0</x:v>
      </x:c>
      <x:c r="G63" t="str">
        <x:v>Administration</x:v>
      </x:c>
      <x:c r="H63" t="str">
        <x:v>Administration</x:v>
      </x:c>
      <x:c r="I63" t="str">
        <x:v>MATCHED</x:v>
      </x:c>
      <x:c r="J63" s="12" t="str"/>
    </x:row>
    <x:row r="64">
      <x:c r="A64" t="str">
        <x:v>INV-0057</x:v>
      </x:c>
      <x:c r="B64" t="n">
        <x:v>1</x:v>
      </x:c>
      <x:c r="C64" t="n">
        <x:v>1</x:v>
      </x:c>
      <x:c r="D64" s="20" t="n">
        <x:v>4345.35</x:v>
      </x:c>
      <x:c r="E64" s="20" t="n">
        <x:v>4345.35</x:v>
      </x:c>
      <x:c r="F64" s="20" t="n">
        <x:v>0</x:v>
      </x:c>
      <x:c r="G64" t="str">
        <x:v>Operations</x:v>
      </x:c>
      <x:c r="H64" t="str">
        <x:v>Operations</x:v>
      </x:c>
      <x:c r="I64" t="str">
        <x:v>MATCHED</x:v>
      </x:c>
      <x:c r="J64" s="12" t="str"/>
    </x:row>
    <x:row r="65">
      <x:c r="A65" t="str">
        <x:v>INV-0058</x:v>
      </x:c>
      <x:c r="B65" t="n">
        <x:v>1</x:v>
      </x:c>
      <x:c r="C65" t="n">
        <x:v>1</x:v>
      </x:c>
      <x:c r="D65" s="20" t="n">
        <x:v>5265.54</x:v>
      </x:c>
      <x:c r="E65" s="20" t="n">
        <x:v>5265.54</x:v>
      </x:c>
      <x:c r="F65" s="20" t="n">
        <x:v>0</x:v>
      </x:c>
      <x:c r="G65" t="str">
        <x:v>IT</x:v>
      </x:c>
      <x:c r="H65" t="str">
        <x:v>IT</x:v>
      </x:c>
      <x:c r="I65" t="str">
        <x:v>MATCHED</x:v>
      </x:c>
      <x:c r="J65" s="12" t="str"/>
    </x:row>
    <x:row r="66">
      <x:c r="A66" t="str">
        <x:v>INV-0059</x:v>
      </x:c>
      <x:c r="B66" t="n">
        <x:v>1</x:v>
      </x:c>
      <x:c r="C66" t="n">
        <x:v>1</x:v>
      </x:c>
      <x:c r="D66" s="20" t="n">
        <x:v>3903.99</x:v>
      </x:c>
      <x:c r="E66" s="20" t="n">
        <x:v>3903.99</x:v>
      </x:c>
      <x:c r="F66" s="20" t="n">
        <x:v>0</x:v>
      </x:c>
      <x:c r="G66" t="str">
        <x:v>Marketing</x:v>
      </x:c>
      <x:c r="H66" t="str">
        <x:v>Marketing</x:v>
      </x:c>
      <x:c r="I66" t="str">
        <x:v>MATCHED</x:v>
      </x:c>
      <x:c r="J66" s="12" t="str"/>
    </x:row>
    <x:row r="67">
      <x:c r="A67" t="str">
        <x:v>INV-0060</x:v>
      </x:c>
      <x:c r="B67" t="n">
        <x:v>1</x:v>
      </x:c>
      <x:c r="C67" t="n">
        <x:v>1</x:v>
      </x:c>
      <x:c r="D67" s="20" t="n">
        <x:v>6152.27</x:v>
      </x:c>
      <x:c r="E67" s="20" t="n">
        <x:v>6152.27</x:v>
      </x:c>
      <x:c r="F67" s="20" t="n">
        <x:v>0</x:v>
      </x:c>
      <x:c r="G67" t="str">
        <x:v>Administration</x:v>
      </x:c>
      <x:c r="H67" t="str">
        <x:v>Administration</x:v>
      </x:c>
      <x:c r="I67" t="str">
        <x:v>MATCHED</x:v>
      </x:c>
      <x:c r="J67" s="12" t="str"/>
    </x:row>
    <x:row r="68">
      <x:c r="A68" t="str">
        <x:v>INV-0061</x:v>
      </x:c>
      <x:c r="B68" t="n">
        <x:v>1</x:v>
      </x:c>
      <x:c r="C68" t="n">
        <x:v>1</x:v>
      </x:c>
      <x:c r="D68" s="20" t="n">
        <x:v>1845.94</x:v>
      </x:c>
      <x:c r="E68" s="20" t="n">
        <x:v>1845.94</x:v>
      </x:c>
      <x:c r="F68" s="20" t="n">
        <x:v>0</x:v>
      </x:c>
      <x:c r="G68" t="str">
        <x:v>Operations</x:v>
      </x:c>
      <x:c r="H68" t="str">
        <x:v>Operations</x:v>
      </x:c>
      <x:c r="I68" t="str">
        <x:v>MATCHED</x:v>
      </x:c>
      <x:c r="J68" s="12" t="str"/>
    </x:row>
    <x:row r="69">
      <x:c r="A69" t="str">
        <x:v>INV-0062</x:v>
      </x:c>
      <x:c r="B69" t="n">
        <x:v>1</x:v>
      </x:c>
      <x:c r="C69" t="n">
        <x:v>1</x:v>
      </x:c>
      <x:c r="D69" s="20" t="n">
        <x:v>5771.41</x:v>
      </x:c>
      <x:c r="E69" s="20" t="n">
        <x:v>5771.41</x:v>
      </x:c>
      <x:c r="F69" s="20" t="n">
        <x:v>0</x:v>
      </x:c>
      <x:c r="G69" t="str">
        <x:v>IT</x:v>
      </x:c>
      <x:c r="H69" t="str">
        <x:v>IT</x:v>
      </x:c>
      <x:c r="I69" t="str">
        <x:v>MATCHED</x:v>
      </x:c>
      <x:c r="J69" s="12" t="str"/>
    </x:row>
    <x:row r="70">
      <x:c r="A70" t="str">
        <x:v>INV-0063</x:v>
      </x:c>
      <x:c r="B70" t="n">
        <x:v>1</x:v>
      </x:c>
      <x:c r="C70" t="n">
        <x:v>1</x:v>
      </x:c>
      <x:c r="D70" s="20" t="n">
        <x:v>6093.26</x:v>
      </x:c>
      <x:c r="E70" s="20" t="n">
        <x:v>6093.26</x:v>
      </x:c>
      <x:c r="F70" s="20" t="n">
        <x:v>0</x:v>
      </x:c>
      <x:c r="G70" t="str">
        <x:v>Marketing</x:v>
      </x:c>
      <x:c r="H70" t="str">
        <x:v>Marketing</x:v>
      </x:c>
      <x:c r="I70" t="str">
        <x:v>MATCHED</x:v>
      </x:c>
      <x:c r="J70" s="12" t="str"/>
    </x:row>
    <x:row r="71">
      <x:c r="A71" t="str">
        <x:v>INV-0064</x:v>
      </x:c>
      <x:c r="B71" t="n">
        <x:v>1</x:v>
      </x:c>
      <x:c r="C71" t="n">
        <x:v>1</x:v>
      </x:c>
      <x:c r="D71" s="20" t="n">
        <x:v>2034.81</x:v>
      </x:c>
      <x:c r="E71" s="20" t="n">
        <x:v>2034.81</x:v>
      </x:c>
      <x:c r="F71" s="20" t="n">
        <x:v>0</x:v>
      </x:c>
      <x:c r="G71" t="str">
        <x:v>Administration</x:v>
      </x:c>
      <x:c r="H71" t="str">
        <x:v>Administration</x:v>
      </x:c>
      <x:c r="I71" t="str">
        <x:v>MATCHED</x:v>
      </x:c>
      <x:c r="J71" s="12" t="str"/>
    </x:row>
    <x:row r="72">
      <x:c r="A72" t="str">
        <x:v>INV-0065</x:v>
      </x:c>
      <x:c r="B72" t="n">
        <x:v>1</x:v>
      </x:c>
      <x:c r="C72" t="n">
        <x:v>1</x:v>
      </x:c>
      <x:c r="D72" s="20" t="n">
        <x:v>6166.1</x:v>
      </x:c>
      <x:c r="E72" s="20" t="n">
        <x:v>6166.1</x:v>
      </x:c>
      <x:c r="F72" s="20" t="n">
        <x:v>0</x:v>
      </x:c>
      <x:c r="G72" t="str">
        <x:v>Operations</x:v>
      </x:c>
      <x:c r="H72" t="str">
        <x:v>Operations</x:v>
      </x:c>
      <x:c r="I72" t="str">
        <x:v>MATCHED</x:v>
      </x:c>
      <x:c r="J72" s="12" t="str"/>
    </x:row>
    <x:row r="73">
      <x:c r="A73" t="str">
        <x:v>INV-0066</x:v>
      </x:c>
      <x:c r="B73" t="n">
        <x:v>1</x:v>
      </x:c>
      <x:c r="C73" t="n">
        <x:v>2</x:v>
      </x:c>
      <x:c r="D73" s="20" t="n">
        <x:v>3253.89</x:v>
      </x:c>
      <x:c r="E73" s="20" t="n">
        <x:v>6507.78</x:v>
      </x:c>
      <x:c r="F73" s="20" t="n">
        <x:v>-3253.89</x:v>
      </x:c>
      <x:c r="G73" t="str">
        <x:v>IT</x:v>
      </x:c>
      <x:c r="H73" t="str">
        <x:v>IT</x:v>
      </x:c>
      <x:c r="I73" t="str">
        <x:v>EXCEPTION</x:v>
      </x:c>
      <x:c r="J73" s="12" t="str">
        <x:v>Duplicate GL; Amount mismatch</x:v>
      </x:c>
    </x:row>
    <x:row r="74">
      <x:c r="A74" t="str">
        <x:v>INV-0067</x:v>
      </x:c>
      <x:c r="B74" t="n">
        <x:v>1</x:v>
      </x:c>
      <x:c r="C74" t="n">
        <x:v>1</x:v>
      </x:c>
      <x:c r="D74" s="20" t="n">
        <x:v>749.72</x:v>
      </x:c>
      <x:c r="E74" s="20" t="n">
        <x:v>749.72</x:v>
      </x:c>
      <x:c r="F74" s="20" t="n">
        <x:v>0</x:v>
      </x:c>
      <x:c r="G74" t="str">
        <x:v>Marketing</x:v>
      </x:c>
      <x:c r="H74" t="str">
        <x:v>Marketing</x:v>
      </x:c>
      <x:c r="I74" t="str">
        <x:v>MATCHED</x:v>
      </x:c>
      <x:c r="J74" s="12" t="str"/>
    </x:row>
    <x:row r="75">
      <x:c r="A75" t="str">
        <x:v>INV-0068</x:v>
      </x:c>
      <x:c r="B75" t="n">
        <x:v>1</x:v>
      </x:c>
      <x:c r="C75" t="n">
        <x:v>1</x:v>
      </x:c>
      <x:c r="D75" s="20" t="n">
        <x:v>4141.09</x:v>
      </x:c>
      <x:c r="E75" s="20" t="n">
        <x:v>4141.09</x:v>
      </x:c>
      <x:c r="F75" s="20" t="n">
        <x:v>0</x:v>
      </x:c>
      <x:c r="G75" t="str">
        <x:v>Administration</x:v>
      </x:c>
      <x:c r="H75" t="str">
        <x:v>Administration</x:v>
      </x:c>
      <x:c r="I75" t="str">
        <x:v>MATCHED</x:v>
      </x:c>
      <x:c r="J75" s="12" t="str"/>
    </x:row>
    <x:row r="76">
      <x:c r="A76" t="str">
        <x:v>INV-0069</x:v>
      </x:c>
      <x:c r="B76" t="n">
        <x:v>1</x:v>
      </x:c>
      <x:c r="C76" t="n">
        <x:v>1</x:v>
      </x:c>
      <x:c r="D76" s="20" t="n">
        <x:v>2049.26</x:v>
      </x:c>
      <x:c r="E76" s="20" t="n">
        <x:v>2049.26</x:v>
      </x:c>
      <x:c r="F76" s="20" t="n">
        <x:v>0</x:v>
      </x:c>
      <x:c r="G76" t="str">
        <x:v>Operations</x:v>
      </x:c>
      <x:c r="H76" t="str">
        <x:v>Operations</x:v>
      </x:c>
      <x:c r="I76" t="str">
        <x:v>MATCHED</x:v>
      </x:c>
      <x:c r="J76" s="12" t="str"/>
    </x:row>
    <x:row r="77">
      <x:c r="A77" t="str">
        <x:v>INV-0070</x:v>
      </x:c>
      <x:c r="B77" t="n">
        <x:v>1</x:v>
      </x:c>
      <x:c r="C77" t="n">
        <x:v>1</x:v>
      </x:c>
      <x:c r="D77" s="20" t="n">
        <x:v>4643.46</x:v>
      </x:c>
      <x:c r="E77" s="20" t="n">
        <x:v>4643.46</x:v>
      </x:c>
      <x:c r="F77" s="20" t="n">
        <x:v>0</x:v>
      </x:c>
      <x:c r="G77" t="str">
        <x:v>IT</x:v>
      </x:c>
      <x:c r="H77" t="str">
        <x:v>IT</x:v>
      </x:c>
      <x:c r="I77" t="str">
        <x:v>MATCHED</x:v>
      </x:c>
      <x:c r="J77" s="12" t="str"/>
    </x:row>
    <x:row r="78">
      <x:c r="A78" t="str">
        <x:v>INV-0071</x:v>
      </x:c>
      <x:c r="B78" t="n">
        <x:v>1</x:v>
      </x:c>
      <x:c r="C78" t="n">
        <x:v>1</x:v>
      </x:c>
      <x:c r="D78" s="20" t="n">
        <x:v>5321.99</x:v>
      </x:c>
      <x:c r="E78" s="20" t="n">
        <x:v>5321.99</x:v>
      </x:c>
      <x:c r="F78" s="20" t="n">
        <x:v>0</x:v>
      </x:c>
      <x:c r="G78" t="str">
        <x:v>Marketing</x:v>
      </x:c>
      <x:c r="H78" t="str">
        <x:v>Marketing</x:v>
      </x:c>
      <x:c r="I78" t="str">
        <x:v>MATCHED</x:v>
      </x:c>
      <x:c r="J78" s="12" t="str"/>
    </x:row>
    <x:row r="79">
      <x:c r="A79" t="str">
        <x:v>INV-0072</x:v>
      </x:c>
      <x:c r="B79" t="n">
        <x:v>1</x:v>
      </x:c>
      <x:c r="C79" t="n">
        <x:v>1</x:v>
      </x:c>
      <x:c r="D79" s="20" t="n">
        <x:v>2217.11</x:v>
      </x:c>
      <x:c r="E79" s="20" t="n">
        <x:v>2217.11</x:v>
      </x:c>
      <x:c r="F79" s="20" t="n">
        <x:v>0</x:v>
      </x:c>
      <x:c r="G79" t="str">
        <x:v>Administration</x:v>
      </x:c>
      <x:c r="H79" t="str">
        <x:v>Administration</x:v>
      </x:c>
      <x:c r="I79" t="str">
        <x:v>MATCHED</x:v>
      </x:c>
      <x:c r="J79" s="12" t="str"/>
    </x:row>
  </x:sheetData>
  <x:mergeCells>
    <x:mergeCell ref="A1:J2"/>
    <x:mergeCell ref="A3:J3"/>
  </x:mergeCells>
  <x:pageMargins left="0.7" right="0.7" top="0.75" bottom="0.75" header="0.3" footer="0.3"/>
</x:worksheet>
</file>